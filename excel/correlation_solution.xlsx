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data" sheetId="1" r:id="rId1"/>
    <sheet name="instructions" sheetId="2" r:id="rId2"/>
  </sheets>
  <calcPr calcId="124519" fullCalcOnLoad="1"/>
</workbook>
</file>

<file path=xl/sharedStrings.xml><?xml version="1.0" encoding="utf-8"?>
<sst xmlns="http://schemas.openxmlformats.org/spreadsheetml/2006/main" count="221" uniqueCount="45">
  <si>
    <t>study_ID</t>
  </si>
  <si>
    <t>study_year</t>
  </si>
  <si>
    <t>taxa</t>
  </si>
  <si>
    <t>species</t>
  </si>
  <si>
    <t>trait</t>
  </si>
  <si>
    <t>sex</t>
  </si>
  <si>
    <t>body_size</t>
  </si>
  <si>
    <t>comparison_ID</t>
  </si>
  <si>
    <t>r</t>
  </si>
  <si>
    <t>sample_size</t>
  </si>
  <si>
    <t>Zr_excel</t>
  </si>
  <si>
    <t>v_Zr_excel</t>
  </si>
  <si>
    <t>se_Zr_excel</t>
  </si>
  <si>
    <t>Mammal</t>
  </si>
  <si>
    <t>Rattus_norvegicus</t>
  </si>
  <si>
    <t>Endurance</t>
  </si>
  <si>
    <t>male</t>
  </si>
  <si>
    <t>Activity</t>
  </si>
  <si>
    <t>Fish</t>
  </si>
  <si>
    <t>Danio_rerio</t>
  </si>
  <si>
    <t>Sprint speed</t>
  </si>
  <si>
    <t>female</t>
  </si>
  <si>
    <t>Exploration</t>
  </si>
  <si>
    <t>Reptile</t>
  </si>
  <si>
    <t>Anolis_sagrei</t>
  </si>
  <si>
    <t>Bird</t>
  </si>
  <si>
    <t>Passer_domesticus</t>
  </si>
  <si>
    <t>Amphibian</t>
  </si>
  <si>
    <t>Rhinella_marina</t>
  </si>
  <si>
    <t>Mus_musculus</t>
  </si>
  <si>
    <t>Taeniopygia_guttata</t>
  </si>
  <si>
    <t>Oncorhynchus_mykiss</t>
  </si>
  <si>
    <t>Rana_temporaria</t>
  </si>
  <si>
    <t>Gallus_gallus</t>
  </si>
  <si>
    <t>Pogona_vitticeps</t>
  </si>
  <si>
    <t>Gasterosteus_aculeatus</t>
  </si>
  <si>
    <t>Xenopus_laevis</t>
  </si>
  <si>
    <t>Activity 1 · Task 1 · Fisher's Zr from correlation coefficients</t>
  </si>
  <si>
    <t>Each row is one correlation (column 'r') between metabolic rate and a performance trait, measured on 'sample_size' animals.</t>
  </si>
  <si>
    <t>1. In column Zr_excel calculate Fisher's z: Zr = 0.5 * ln((1 + r) / (1 - r)). In Excel: =0.5*LN((1+I2)/(1-I2)) or =FISHER(I2).</t>
  </si>
  <si>
    <t>2. In column v_Zr_excel calculate the sampling variance: v = 1 / (n - 3).</t>
  </si>
  <si>
    <t>3. In column se_Zr_excel calculate the standard error: SE = sqrt(v).</t>
  </si>
  <si>
    <t>4. Drag the formulas down to the last row (row 51). Do NOT sort or delete rows.</t>
  </si>
  <si>
    <t>5. Save as .xlsx and read the file into R with readxl::read_excel(path, sheet = 'data') to compare with metafor::escalc().</t>
  </si>
  <si>
    <t>SOLUTION: the orange columns on the 'data' sheet contain the formulas.</t>
  </si>
</sst>
</file>

<file path=xl/styles.xml><?xml version="1.0" encoding="utf-8"?>
<styleSheet xmlns="http://schemas.openxmlformats.org/spreadsheetml/2006/main">
  <numFmts count="1">
    <numFmt numFmtId="164" formatCode="0.0000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E69F00"/>
        <bgColor indexed="64"/>
      </patternFill>
    </fill>
    <fill>
      <patternFill patternType="solid">
        <fgColor rgb="FFEAF4E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164" fontId="0" fillId="4" borderId="1" xfId="0" applyNumberFormat="1" applyFill="1" applyBorder="1"/>
    <xf numFmtId="0" fontId="3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3.7109375" customWidth="1"/>
    <col min="4" max="5" width="24.7109375" customWidth="1"/>
    <col min="6" max="10" width="13.7109375" customWidth="1"/>
    <col min="11" max="13" width="15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 spans="1:13">
      <c r="A2">
        <v>1</v>
      </c>
      <c r="B2">
        <v>1994</v>
      </c>
      <c r="C2" t="s">
        <v>13</v>
      </c>
      <c r="D2" t="s">
        <v>14</v>
      </c>
      <c r="E2" t="s">
        <v>15</v>
      </c>
      <c r="F2" t="s">
        <v>16</v>
      </c>
      <c r="G2">
        <v>279.05</v>
      </c>
      <c r="H2">
        <v>1</v>
      </c>
      <c r="I2">
        <v>0.68</v>
      </c>
      <c r="J2">
        <v>31</v>
      </c>
      <c r="K2" s="3">
        <f>0.5*LN((1+I2)/(1-I2))</f>
        <v>0.8291140383017662</v>
      </c>
      <c r="L2" s="3">
        <f>1/(J2-3)</f>
        <v>0.03571428571428571</v>
      </c>
      <c r="M2" s="3">
        <f>SQRT(L2)</f>
        <v>0.1889822365046136</v>
      </c>
    </row>
    <row r="3" spans="1:13">
      <c r="A3">
        <v>1</v>
      </c>
      <c r="B3">
        <v>1994</v>
      </c>
      <c r="C3" t="s">
        <v>13</v>
      </c>
      <c r="D3" t="s">
        <v>14</v>
      </c>
      <c r="E3" t="s">
        <v>17</v>
      </c>
      <c r="F3" t="s">
        <v>16</v>
      </c>
      <c r="G3">
        <v>279.05</v>
      </c>
      <c r="H3">
        <v>1</v>
      </c>
      <c r="I3">
        <v>0.678</v>
      </c>
      <c r="J3">
        <v>31</v>
      </c>
      <c r="K3" s="3">
        <f>0.5*LN((1+I3)/(1-I3))</f>
        <v>0.8254031707413716</v>
      </c>
      <c r="L3" s="3">
        <f>1/(J3-3)</f>
        <v>0.03571428571428571</v>
      </c>
      <c r="M3" s="3">
        <f>SQRT(L3)</f>
        <v>0.1889822365046136</v>
      </c>
    </row>
    <row r="4" spans="1:13">
      <c r="A4">
        <v>2</v>
      </c>
      <c r="B4">
        <v>2003</v>
      </c>
      <c r="C4" t="s">
        <v>18</v>
      </c>
      <c r="D4" t="s">
        <v>19</v>
      </c>
      <c r="E4" t="s">
        <v>20</v>
      </c>
      <c r="F4" t="s">
        <v>21</v>
      </c>
      <c r="G4">
        <v>0.45</v>
      </c>
      <c r="H4">
        <v>2</v>
      </c>
      <c r="I4">
        <v>0.36</v>
      </c>
      <c r="J4">
        <v>63</v>
      </c>
      <c r="K4" s="3">
        <f>0.5*LN((1+I4)/(1-I4))</f>
        <v>0.37688590118819</v>
      </c>
      <c r="L4" s="3">
        <f>1/(J4-3)</f>
        <v>0.016666666666666666</v>
      </c>
      <c r="M4" s="3">
        <f>SQRT(L4)</f>
        <v>0.12909944487358055</v>
      </c>
    </row>
    <row r="5" spans="1:13">
      <c r="A5">
        <v>2</v>
      </c>
      <c r="B5">
        <v>2003</v>
      </c>
      <c r="C5" t="s">
        <v>18</v>
      </c>
      <c r="D5" t="s">
        <v>19</v>
      </c>
      <c r="E5" t="s">
        <v>22</v>
      </c>
      <c r="F5" t="s">
        <v>21</v>
      </c>
      <c r="G5">
        <v>0.45</v>
      </c>
      <c r="H5">
        <v>2</v>
      </c>
      <c r="I5">
        <v>0.397</v>
      </c>
      <c r="J5">
        <v>63</v>
      </c>
      <c r="K5" s="3">
        <f>0.5*LN((1+I5)/(1-I5))</f>
        <v>0.4200825812648882</v>
      </c>
      <c r="L5" s="3">
        <f>1/(J5-3)</f>
        <v>0.016666666666666666</v>
      </c>
      <c r="M5" s="3">
        <f>SQRT(L5)</f>
        <v>0.12909944487358055</v>
      </c>
    </row>
    <row r="6" spans="1:13">
      <c r="A6">
        <v>2</v>
      </c>
      <c r="B6">
        <v>2003</v>
      </c>
      <c r="C6" t="s">
        <v>18</v>
      </c>
      <c r="D6" t="s">
        <v>19</v>
      </c>
      <c r="E6" t="s">
        <v>17</v>
      </c>
      <c r="F6" t="s">
        <v>21</v>
      </c>
      <c r="G6">
        <v>0.45</v>
      </c>
      <c r="H6">
        <v>2</v>
      </c>
      <c r="I6">
        <v>0.41</v>
      </c>
      <c r="J6">
        <v>63</v>
      </c>
      <c r="K6" s="3">
        <f>0.5*LN((1+I6)/(1-I6))</f>
        <v>0.4356112232362243</v>
      </c>
      <c r="L6" s="3">
        <f>1/(J6-3)</f>
        <v>0.016666666666666666</v>
      </c>
      <c r="M6" s="3">
        <f>SQRT(L6)</f>
        <v>0.12909944487358055</v>
      </c>
    </row>
    <row r="7" spans="1:13">
      <c r="A7">
        <v>3</v>
      </c>
      <c r="B7">
        <v>2024</v>
      </c>
      <c r="C7" t="s">
        <v>23</v>
      </c>
      <c r="D7" t="s">
        <v>24</v>
      </c>
      <c r="E7" t="s">
        <v>15</v>
      </c>
      <c r="F7" t="s">
        <v>21</v>
      </c>
      <c r="G7">
        <v>3.96</v>
      </c>
      <c r="H7">
        <v>3</v>
      </c>
      <c r="I7">
        <v>0.272</v>
      </c>
      <c r="J7">
        <v>24</v>
      </c>
      <c r="K7" s="3">
        <f>0.5*LN((1+I7)/(1-I7))</f>
        <v>0.2790223478516907</v>
      </c>
      <c r="L7" s="3">
        <f>1/(J7-3)</f>
        <v>0.047619047619047616</v>
      </c>
      <c r="M7" s="3">
        <f>SQRT(L7)</f>
        <v>0.21821789023599236</v>
      </c>
    </row>
    <row r="8" spans="1:13">
      <c r="A8">
        <v>3</v>
      </c>
      <c r="B8">
        <v>2024</v>
      </c>
      <c r="C8" t="s">
        <v>23</v>
      </c>
      <c r="D8" t="s">
        <v>24</v>
      </c>
      <c r="E8" t="s">
        <v>17</v>
      </c>
      <c r="F8" t="s">
        <v>21</v>
      </c>
      <c r="G8">
        <v>3.96</v>
      </c>
      <c r="H8">
        <v>3</v>
      </c>
      <c r="I8">
        <v>-0.31</v>
      </c>
      <c r="J8">
        <v>24</v>
      </c>
      <c r="K8" s="3">
        <f>0.5*LN((1+I8)/(1-I8))</f>
        <v>-0.3205454093019461</v>
      </c>
      <c r="L8" s="3">
        <f>1/(J8-3)</f>
        <v>0.047619047619047616</v>
      </c>
      <c r="M8" s="3">
        <f>SQRT(L8)</f>
        <v>0.21821789023599236</v>
      </c>
    </row>
    <row r="9" spans="1:13">
      <c r="A9">
        <v>3</v>
      </c>
      <c r="B9">
        <v>2024</v>
      </c>
      <c r="C9" t="s">
        <v>23</v>
      </c>
      <c r="D9" t="s">
        <v>24</v>
      </c>
      <c r="E9" t="s">
        <v>20</v>
      </c>
      <c r="F9" t="s">
        <v>21</v>
      </c>
      <c r="G9">
        <v>3.96</v>
      </c>
      <c r="H9">
        <v>3</v>
      </c>
      <c r="I9">
        <v>0.413</v>
      </c>
      <c r="J9">
        <v>24</v>
      </c>
      <c r="K9" s="3">
        <f>0.5*LN((1+I9)/(1-I9))</f>
        <v>0.43922278142821547</v>
      </c>
      <c r="L9" s="3">
        <f>1/(J9-3)</f>
        <v>0.047619047619047616</v>
      </c>
      <c r="M9" s="3">
        <f>SQRT(L9)</f>
        <v>0.21821789023599236</v>
      </c>
    </row>
    <row r="10" spans="1:13">
      <c r="A10">
        <v>3</v>
      </c>
      <c r="B10">
        <v>2024</v>
      </c>
      <c r="C10" t="s">
        <v>23</v>
      </c>
      <c r="D10" t="s">
        <v>24</v>
      </c>
      <c r="E10" t="s">
        <v>15</v>
      </c>
      <c r="F10" t="s">
        <v>16</v>
      </c>
      <c r="G10">
        <v>4.16</v>
      </c>
      <c r="H10">
        <v>4</v>
      </c>
      <c r="I10">
        <v>0.379</v>
      </c>
      <c r="J10">
        <v>25</v>
      </c>
      <c r="K10" s="3">
        <f>0.5*LN((1+I10)/(1-I10))</f>
        <v>0.3988913979299115</v>
      </c>
      <c r="L10" s="3">
        <f>1/(J10-3)</f>
        <v>0.045454545454545456</v>
      </c>
      <c r="M10" s="3">
        <f>SQRT(L10)</f>
        <v>0.21320071635561044</v>
      </c>
    </row>
    <row r="11" spans="1:13">
      <c r="A11">
        <v>3</v>
      </c>
      <c r="B11">
        <v>2024</v>
      </c>
      <c r="C11" t="s">
        <v>23</v>
      </c>
      <c r="D11" t="s">
        <v>24</v>
      </c>
      <c r="E11" t="s">
        <v>20</v>
      </c>
      <c r="F11" t="s">
        <v>16</v>
      </c>
      <c r="G11">
        <v>4.16</v>
      </c>
      <c r="H11">
        <v>4</v>
      </c>
      <c r="I11">
        <v>0.146</v>
      </c>
      <c r="J11">
        <v>25</v>
      </c>
      <c r="K11" s="3">
        <f>0.5*LN((1+I11)/(1-I11))</f>
        <v>0.1470508517430575</v>
      </c>
      <c r="L11" s="3">
        <f>1/(J11-3)</f>
        <v>0.045454545454545456</v>
      </c>
      <c r="M11" s="3">
        <f>SQRT(L11)</f>
        <v>0.21320071635561044</v>
      </c>
    </row>
    <row r="12" spans="1:13">
      <c r="A12">
        <v>3</v>
      </c>
      <c r="B12">
        <v>2024</v>
      </c>
      <c r="C12" t="s">
        <v>23</v>
      </c>
      <c r="D12" t="s">
        <v>24</v>
      </c>
      <c r="E12" t="s">
        <v>22</v>
      </c>
      <c r="F12" t="s">
        <v>16</v>
      </c>
      <c r="G12">
        <v>4.16</v>
      </c>
      <c r="H12">
        <v>4</v>
      </c>
      <c r="I12">
        <v>0.488</v>
      </c>
      <c r="J12">
        <v>25</v>
      </c>
      <c r="K12" s="3">
        <f>0.5*LN((1+I12)/(1-I12))</f>
        <v>0.5334317951767646</v>
      </c>
      <c r="L12" s="3">
        <f>1/(J12-3)</f>
        <v>0.045454545454545456</v>
      </c>
      <c r="M12" s="3">
        <f>SQRT(L12)</f>
        <v>0.21320071635561044</v>
      </c>
    </row>
    <row r="13" spans="1:13">
      <c r="A13">
        <v>4</v>
      </c>
      <c r="B13">
        <v>2019</v>
      </c>
      <c r="C13" t="s">
        <v>25</v>
      </c>
      <c r="D13" t="s">
        <v>26</v>
      </c>
      <c r="E13" t="s">
        <v>17</v>
      </c>
      <c r="F13" t="s">
        <v>16</v>
      </c>
      <c r="G13">
        <v>23.94</v>
      </c>
      <c r="H13">
        <v>5</v>
      </c>
      <c r="I13">
        <v>-0.367</v>
      </c>
      <c r="J13">
        <v>14</v>
      </c>
      <c r="K13" s="3">
        <f>0.5*LN((1+I13)/(1-I13))</f>
        <v>-0.3849517072898867</v>
      </c>
      <c r="L13" s="3">
        <f>1/(J13-3)</f>
        <v>0.09090909090909091</v>
      </c>
      <c r="M13" s="3">
        <f>SQRT(L13)</f>
        <v>0.30151134457776363</v>
      </c>
    </row>
    <row r="14" spans="1:13">
      <c r="A14">
        <v>4</v>
      </c>
      <c r="B14">
        <v>2019</v>
      </c>
      <c r="C14" t="s">
        <v>25</v>
      </c>
      <c r="D14" t="s">
        <v>26</v>
      </c>
      <c r="E14" t="s">
        <v>20</v>
      </c>
      <c r="F14" t="s">
        <v>16</v>
      </c>
      <c r="G14">
        <v>23.94</v>
      </c>
      <c r="H14">
        <v>5</v>
      </c>
      <c r="I14">
        <v>-0.128</v>
      </c>
      <c r="J14">
        <v>14</v>
      </c>
      <c r="K14" s="3">
        <f>0.5*LN((1+I14)/(1-I14))</f>
        <v>-0.12870600407451235</v>
      </c>
      <c r="L14" s="3">
        <f>1/(J14-3)</f>
        <v>0.09090909090909091</v>
      </c>
      <c r="M14" s="3">
        <f>SQRT(L14)</f>
        <v>0.30151134457776363</v>
      </c>
    </row>
    <row r="15" spans="1:13">
      <c r="A15">
        <v>5</v>
      </c>
      <c r="B15">
        <v>2017</v>
      </c>
      <c r="C15" t="s">
        <v>27</v>
      </c>
      <c r="D15" t="s">
        <v>28</v>
      </c>
      <c r="E15" t="s">
        <v>20</v>
      </c>
      <c r="F15" t="s">
        <v>21</v>
      </c>
      <c r="G15">
        <v>165.21</v>
      </c>
      <c r="H15">
        <v>6</v>
      </c>
      <c r="I15">
        <v>0.187</v>
      </c>
      <c r="J15">
        <v>50</v>
      </c>
      <c r="K15" s="3">
        <f>0.5*LN((1+I15)/(1-I15))</f>
        <v>0.1892266425309288</v>
      </c>
      <c r="L15" s="3">
        <f>1/(J15-3)</f>
        <v>0.02127659574468085</v>
      </c>
      <c r="M15" s="3">
        <f>SQRT(L15)</f>
        <v>0.14586499149789456</v>
      </c>
    </row>
    <row r="16" spans="1:13">
      <c r="A16">
        <v>6</v>
      </c>
      <c r="B16">
        <v>2018</v>
      </c>
      <c r="C16" t="s">
        <v>13</v>
      </c>
      <c r="D16" t="s">
        <v>29</v>
      </c>
      <c r="E16" t="s">
        <v>17</v>
      </c>
      <c r="F16" t="s">
        <v>21</v>
      </c>
      <c r="G16">
        <v>23.01</v>
      </c>
      <c r="H16">
        <v>7</v>
      </c>
      <c r="I16">
        <v>-0.099</v>
      </c>
      <c r="J16">
        <v>24</v>
      </c>
      <c r="K16" s="3">
        <f>0.5*LN((1+I16)/(1-I16))</f>
        <v>-0.0993253483976417</v>
      </c>
      <c r="L16" s="3">
        <f>1/(J16-3)</f>
        <v>0.047619047619047616</v>
      </c>
      <c r="M16" s="3">
        <f>SQRT(L16)</f>
        <v>0.21821789023599236</v>
      </c>
    </row>
    <row r="17" spans="1:13">
      <c r="A17">
        <v>6</v>
      </c>
      <c r="B17">
        <v>2018</v>
      </c>
      <c r="C17" t="s">
        <v>13</v>
      </c>
      <c r="D17" t="s">
        <v>29</v>
      </c>
      <c r="E17" t="s">
        <v>15</v>
      </c>
      <c r="F17" t="s">
        <v>21</v>
      </c>
      <c r="G17">
        <v>23.01</v>
      </c>
      <c r="H17">
        <v>7</v>
      </c>
      <c r="I17">
        <v>0.586</v>
      </c>
      <c r="J17">
        <v>24</v>
      </c>
      <c r="K17" s="3">
        <f>0.5*LN((1+I17)/(1-I17))</f>
        <v>0.6715522141847393</v>
      </c>
      <c r="L17" s="3">
        <f>1/(J17-3)</f>
        <v>0.047619047619047616</v>
      </c>
      <c r="M17" s="3">
        <f>SQRT(L17)</f>
        <v>0.21821789023599236</v>
      </c>
    </row>
    <row r="18" spans="1:13">
      <c r="A18">
        <v>7</v>
      </c>
      <c r="B18">
        <v>2013</v>
      </c>
      <c r="C18" t="s">
        <v>25</v>
      </c>
      <c r="D18" t="s">
        <v>30</v>
      </c>
      <c r="E18" t="s">
        <v>17</v>
      </c>
      <c r="F18" t="s">
        <v>16</v>
      </c>
      <c r="G18">
        <v>9.48</v>
      </c>
      <c r="H18">
        <v>8</v>
      </c>
      <c r="I18">
        <v>0.417</v>
      </c>
      <c r="J18">
        <v>9</v>
      </c>
      <c r="K18" s="3">
        <f>0.5*LN((1+I18)/(1-I18))</f>
        <v>0.4440550266700941</v>
      </c>
      <c r="L18" s="3">
        <f>1/(J18-3)</f>
        <v>0.16666666666666666</v>
      </c>
      <c r="M18" s="3">
        <f>SQRT(L18)</f>
        <v>0.408248290463863</v>
      </c>
    </row>
    <row r="19" spans="1:13">
      <c r="A19">
        <v>7</v>
      </c>
      <c r="B19">
        <v>2013</v>
      </c>
      <c r="C19" t="s">
        <v>25</v>
      </c>
      <c r="D19" t="s">
        <v>30</v>
      </c>
      <c r="E19" t="s">
        <v>20</v>
      </c>
      <c r="F19" t="s">
        <v>16</v>
      </c>
      <c r="G19">
        <v>9.48</v>
      </c>
      <c r="H19">
        <v>8</v>
      </c>
      <c r="I19">
        <v>0.541</v>
      </c>
      <c r="J19">
        <v>9</v>
      </c>
      <c r="K19" s="3">
        <f>0.5*LN((1+I19)/(1-I19))</f>
        <v>0.6055683126297853</v>
      </c>
      <c r="L19" s="3">
        <f>1/(J19-3)</f>
        <v>0.16666666666666666</v>
      </c>
      <c r="M19" s="3">
        <f>SQRT(L19)</f>
        <v>0.408248290463863</v>
      </c>
    </row>
    <row r="20" spans="1:13">
      <c r="A20">
        <v>8</v>
      </c>
      <c r="B20">
        <v>1999</v>
      </c>
      <c r="C20" t="s">
        <v>18</v>
      </c>
      <c r="D20" t="s">
        <v>31</v>
      </c>
      <c r="E20" t="s">
        <v>15</v>
      </c>
      <c r="F20" t="s">
        <v>21</v>
      </c>
      <c r="G20">
        <v>461.84</v>
      </c>
      <c r="H20">
        <v>9</v>
      </c>
      <c r="I20">
        <v>0.251</v>
      </c>
      <c r="J20">
        <v>48</v>
      </c>
      <c r="K20" s="3">
        <f>0.5*LN((1+I20)/(1-I20))</f>
        <v>0.2564797634748458</v>
      </c>
      <c r="L20" s="3">
        <f>1/(J20-3)</f>
        <v>0.022222222222222223</v>
      </c>
      <c r="M20" s="3">
        <f>SQRT(L20)</f>
        <v>0.14907119849998599</v>
      </c>
    </row>
    <row r="21" spans="1:13">
      <c r="A21">
        <v>8</v>
      </c>
      <c r="B21">
        <v>1999</v>
      </c>
      <c r="C21" t="s">
        <v>18</v>
      </c>
      <c r="D21" t="s">
        <v>31</v>
      </c>
      <c r="E21" t="s">
        <v>20</v>
      </c>
      <c r="F21" t="s">
        <v>21</v>
      </c>
      <c r="G21">
        <v>461.84</v>
      </c>
      <c r="H21">
        <v>9</v>
      </c>
      <c r="I21">
        <v>0.341</v>
      </c>
      <c r="J21">
        <v>48</v>
      </c>
      <c r="K21" s="3">
        <f>0.5*LN((1+I21)/(1-I21))</f>
        <v>0.3552236743895856</v>
      </c>
      <c r="L21" s="3">
        <f>1/(J21-3)</f>
        <v>0.022222222222222223</v>
      </c>
      <c r="M21" s="3">
        <f>SQRT(L21)</f>
        <v>0.14907119849998599</v>
      </c>
    </row>
    <row r="22" spans="1:13">
      <c r="A22">
        <v>9</v>
      </c>
      <c r="B22">
        <v>2010</v>
      </c>
      <c r="C22" t="s">
        <v>23</v>
      </c>
      <c r="D22" t="s">
        <v>24</v>
      </c>
      <c r="E22" t="s">
        <v>17</v>
      </c>
      <c r="F22" t="s">
        <v>21</v>
      </c>
      <c r="G22">
        <v>4.46</v>
      </c>
      <c r="H22">
        <v>10</v>
      </c>
      <c r="I22">
        <v>0.453</v>
      </c>
      <c r="J22">
        <v>50</v>
      </c>
      <c r="K22" s="3">
        <f>0.5*LN((1+I22)/(1-I22))</f>
        <v>0.48846843057415096</v>
      </c>
      <c r="L22" s="3">
        <f>1/(J22-3)</f>
        <v>0.02127659574468085</v>
      </c>
      <c r="M22" s="3">
        <f>SQRT(L22)</f>
        <v>0.14586499149789456</v>
      </c>
    </row>
    <row r="23" spans="1:13">
      <c r="A23">
        <v>9</v>
      </c>
      <c r="B23">
        <v>2010</v>
      </c>
      <c r="C23" t="s">
        <v>23</v>
      </c>
      <c r="D23" t="s">
        <v>24</v>
      </c>
      <c r="E23" t="s">
        <v>22</v>
      </c>
      <c r="F23" t="s">
        <v>16</v>
      </c>
      <c r="G23">
        <v>3.69</v>
      </c>
      <c r="H23">
        <v>11</v>
      </c>
      <c r="I23">
        <v>0.408</v>
      </c>
      <c r="J23">
        <v>53</v>
      </c>
      <c r="K23" s="3">
        <f>0.5*LN((1+I23)/(1-I23))</f>
        <v>0.4332094509169909</v>
      </c>
      <c r="L23" s="3">
        <f>1/(J23-3)</f>
        <v>0.02</v>
      </c>
      <c r="M23" s="3">
        <f>SQRT(L23)</f>
        <v>0.1414213562373095</v>
      </c>
    </row>
    <row r="24" spans="1:13">
      <c r="A24">
        <v>10</v>
      </c>
      <c r="B24">
        <v>2013</v>
      </c>
      <c r="C24" t="s">
        <v>27</v>
      </c>
      <c r="D24" t="s">
        <v>32</v>
      </c>
      <c r="E24" t="s">
        <v>22</v>
      </c>
      <c r="F24" t="s">
        <v>16</v>
      </c>
      <c r="G24">
        <v>23.27</v>
      </c>
      <c r="H24">
        <v>12</v>
      </c>
      <c r="I24">
        <v>0.212</v>
      </c>
      <c r="J24">
        <v>18</v>
      </c>
      <c r="K24" s="3">
        <f>0.5*LN((1+I24)/(1-I24))</f>
        <v>0.21526453838569026</v>
      </c>
      <c r="L24" s="3">
        <f>1/(J24-3)</f>
        <v>0.06666666666666667</v>
      </c>
      <c r="M24" s="3">
        <f>SQRT(L24)</f>
        <v>0.2581988897471611</v>
      </c>
    </row>
    <row r="25" spans="1:13">
      <c r="A25">
        <v>10</v>
      </c>
      <c r="B25">
        <v>2013</v>
      </c>
      <c r="C25" t="s">
        <v>27</v>
      </c>
      <c r="D25" t="s">
        <v>32</v>
      </c>
      <c r="E25" t="s">
        <v>15</v>
      </c>
      <c r="F25" t="s">
        <v>16</v>
      </c>
      <c r="G25">
        <v>23.27</v>
      </c>
      <c r="H25">
        <v>12</v>
      </c>
      <c r="I25">
        <v>0.436</v>
      </c>
      <c r="J25">
        <v>18</v>
      </c>
      <c r="K25" s="3">
        <f>0.5*LN((1+I25)/(1-I25))</f>
        <v>0.46728124905505525</v>
      </c>
      <c r="L25" s="3">
        <f>1/(J25-3)</f>
        <v>0.06666666666666667</v>
      </c>
      <c r="M25" s="3">
        <f>SQRT(L25)</f>
        <v>0.2581988897471611</v>
      </c>
    </row>
    <row r="26" spans="1:13">
      <c r="A26">
        <v>11</v>
      </c>
      <c r="B26">
        <v>2010</v>
      </c>
      <c r="C26" t="s">
        <v>25</v>
      </c>
      <c r="D26" t="s">
        <v>33</v>
      </c>
      <c r="E26" t="s">
        <v>17</v>
      </c>
      <c r="F26" t="s">
        <v>21</v>
      </c>
      <c r="G26">
        <v>1667.71</v>
      </c>
      <c r="H26">
        <v>13</v>
      </c>
      <c r="I26">
        <v>0.15</v>
      </c>
      <c r="J26">
        <v>11</v>
      </c>
      <c r="K26" s="3">
        <f>0.5*LN((1+I26)/(1-I26))</f>
        <v>0.15114043593646675</v>
      </c>
      <c r="L26" s="3">
        <f>1/(J26-3)</f>
        <v>0.125</v>
      </c>
      <c r="M26" s="3">
        <f>SQRT(L26)</f>
        <v>0.3535533905932738</v>
      </c>
    </row>
    <row r="27" spans="1:13">
      <c r="A27">
        <v>11</v>
      </c>
      <c r="B27">
        <v>2010</v>
      </c>
      <c r="C27" t="s">
        <v>25</v>
      </c>
      <c r="D27" t="s">
        <v>33</v>
      </c>
      <c r="E27" t="s">
        <v>22</v>
      </c>
      <c r="F27" t="s">
        <v>21</v>
      </c>
      <c r="G27">
        <v>1667.71</v>
      </c>
      <c r="H27">
        <v>13</v>
      </c>
      <c r="I27">
        <v>0.592</v>
      </c>
      <c r="J27">
        <v>11</v>
      </c>
      <c r="K27" s="3">
        <f>0.5*LN((1+I27)/(1-I27))</f>
        <v>0.6807395960000833</v>
      </c>
      <c r="L27" s="3">
        <f>1/(J27-3)</f>
        <v>0.125</v>
      </c>
      <c r="M27" s="3">
        <f>SQRT(L27)</f>
        <v>0.3535533905932738</v>
      </c>
    </row>
    <row r="28" spans="1:13">
      <c r="A28">
        <v>12</v>
      </c>
      <c r="B28">
        <v>2004</v>
      </c>
      <c r="C28" t="s">
        <v>18</v>
      </c>
      <c r="D28" t="s">
        <v>31</v>
      </c>
      <c r="E28" t="s">
        <v>20</v>
      </c>
      <c r="F28" t="s">
        <v>21</v>
      </c>
      <c r="G28">
        <v>508.65</v>
      </c>
      <c r="H28">
        <v>14</v>
      </c>
      <c r="I28">
        <v>0.754</v>
      </c>
      <c r="J28">
        <v>15</v>
      </c>
      <c r="K28" s="3">
        <f>0.5*LN((1+I28)/(1-I28))</f>
        <v>0.9821613184998828</v>
      </c>
      <c r="L28" s="3">
        <f>1/(J28-3)</f>
        <v>0.08333333333333333</v>
      </c>
      <c r="M28" s="3">
        <f>SQRT(L28)</f>
        <v>0.28867513459481287</v>
      </c>
    </row>
    <row r="29" spans="1:13">
      <c r="A29">
        <v>12</v>
      </c>
      <c r="B29">
        <v>2004</v>
      </c>
      <c r="C29" t="s">
        <v>18</v>
      </c>
      <c r="D29" t="s">
        <v>31</v>
      </c>
      <c r="E29" t="s">
        <v>17</v>
      </c>
      <c r="F29" t="s">
        <v>16</v>
      </c>
      <c r="G29">
        <v>525.85</v>
      </c>
      <c r="H29">
        <v>15</v>
      </c>
      <c r="I29">
        <v>0.793</v>
      </c>
      <c r="J29">
        <v>16</v>
      </c>
      <c r="K29" s="3">
        <f>0.5*LN((1+I29)/(1-I29))</f>
        <v>1.079463340169882</v>
      </c>
      <c r="L29" s="3">
        <f>1/(J29-3)</f>
        <v>0.07692307692307693</v>
      </c>
      <c r="M29" s="3">
        <f>SQRT(L29)</f>
        <v>0.2773500981126146</v>
      </c>
    </row>
    <row r="30" spans="1:13">
      <c r="A30">
        <v>13</v>
      </c>
      <c r="B30">
        <v>1992</v>
      </c>
      <c r="C30" t="s">
        <v>13</v>
      </c>
      <c r="D30" t="s">
        <v>14</v>
      </c>
      <c r="E30" t="s">
        <v>17</v>
      </c>
      <c r="F30" t="s">
        <v>21</v>
      </c>
      <c r="G30">
        <v>290.06</v>
      </c>
      <c r="H30">
        <v>16</v>
      </c>
      <c r="I30">
        <v>0.666</v>
      </c>
      <c r="J30">
        <v>30</v>
      </c>
      <c r="K30" s="3">
        <f>0.5*LN((1+I30)/(1-I30))</f>
        <v>0.8035199148750438</v>
      </c>
      <c r="L30" s="3">
        <f>1/(J30-3)</f>
        <v>0.037037037037037035</v>
      </c>
      <c r="M30" s="3">
        <f>SQRT(L30)</f>
        <v>0.19245008972987526</v>
      </c>
    </row>
    <row r="31" spans="1:13">
      <c r="A31">
        <v>13</v>
      </c>
      <c r="B31">
        <v>1992</v>
      </c>
      <c r="C31" t="s">
        <v>13</v>
      </c>
      <c r="D31" t="s">
        <v>14</v>
      </c>
      <c r="E31" t="s">
        <v>15</v>
      </c>
      <c r="F31" t="s">
        <v>16</v>
      </c>
      <c r="G31">
        <v>408.6</v>
      </c>
      <c r="H31">
        <v>17</v>
      </c>
      <c r="I31">
        <v>0.604</v>
      </c>
      <c r="J31">
        <v>34</v>
      </c>
      <c r="K31" s="3">
        <f>0.5*LN((1+I31)/(1-I31))</f>
        <v>0.6994207885859896</v>
      </c>
      <c r="L31" s="3">
        <f>1/(J31-3)</f>
        <v>0.03225806451612903</v>
      </c>
      <c r="M31" s="3">
        <f>SQRT(L31)</f>
        <v>0.1796053020267749</v>
      </c>
    </row>
    <row r="32" spans="1:13">
      <c r="A32">
        <v>14</v>
      </c>
      <c r="B32">
        <v>2016</v>
      </c>
      <c r="C32" t="s">
        <v>27</v>
      </c>
      <c r="D32" t="s">
        <v>28</v>
      </c>
      <c r="E32" t="s">
        <v>15</v>
      </c>
      <c r="F32" t="s">
        <v>21</v>
      </c>
      <c r="G32">
        <v>128.86</v>
      </c>
      <c r="H32">
        <v>18</v>
      </c>
      <c r="I32">
        <v>0.207</v>
      </c>
      <c r="J32">
        <v>61</v>
      </c>
      <c r="K32" s="3">
        <f>0.5*LN((1+I32)/(1-I32))</f>
        <v>0.2100349997313418</v>
      </c>
      <c r="L32" s="3">
        <f>1/(J32-3)</f>
        <v>0.017241379310344827</v>
      </c>
      <c r="M32" s="3">
        <f>SQRT(L32)</f>
        <v>0.13130643285972254</v>
      </c>
    </row>
    <row r="33" spans="1:13">
      <c r="A33">
        <v>14</v>
      </c>
      <c r="B33">
        <v>2016</v>
      </c>
      <c r="C33" t="s">
        <v>27</v>
      </c>
      <c r="D33" t="s">
        <v>28</v>
      </c>
      <c r="E33" t="s">
        <v>22</v>
      </c>
      <c r="F33" t="s">
        <v>21</v>
      </c>
      <c r="G33">
        <v>128.86</v>
      </c>
      <c r="H33">
        <v>18</v>
      </c>
      <c r="I33">
        <v>0.356</v>
      </c>
      <c r="J33">
        <v>61</v>
      </c>
      <c r="K33" s="3">
        <f>0.5*LN((1+I33)/(1-I33))</f>
        <v>0.37229787119799357</v>
      </c>
      <c r="L33" s="3">
        <f>1/(J33-3)</f>
        <v>0.017241379310344827</v>
      </c>
      <c r="M33" s="3">
        <f>SQRT(L33)</f>
        <v>0.13130643285972254</v>
      </c>
    </row>
    <row r="34" spans="1:13">
      <c r="A34">
        <v>14</v>
      </c>
      <c r="B34">
        <v>2016</v>
      </c>
      <c r="C34" t="s">
        <v>27</v>
      </c>
      <c r="D34" t="s">
        <v>28</v>
      </c>
      <c r="E34" t="s">
        <v>17</v>
      </c>
      <c r="F34" t="s">
        <v>16</v>
      </c>
      <c r="G34">
        <v>118.7</v>
      </c>
      <c r="H34">
        <v>19</v>
      </c>
      <c r="I34">
        <v>0.297</v>
      </c>
      <c r="J34">
        <v>60</v>
      </c>
      <c r="K34" s="3">
        <f>0.5*LN((1+I34)/(1-I34))</f>
        <v>0.3062261462528894</v>
      </c>
      <c r="L34" s="3">
        <f>1/(J34-3)</f>
        <v>0.017543859649122806</v>
      </c>
      <c r="M34" s="3">
        <f>SQRT(L34)</f>
        <v>0.13245323570650439</v>
      </c>
    </row>
    <row r="35" spans="1:13">
      <c r="A35">
        <v>14</v>
      </c>
      <c r="B35">
        <v>2016</v>
      </c>
      <c r="C35" t="s">
        <v>27</v>
      </c>
      <c r="D35" t="s">
        <v>28</v>
      </c>
      <c r="E35" t="s">
        <v>20</v>
      </c>
      <c r="F35" t="s">
        <v>16</v>
      </c>
      <c r="G35">
        <v>118.7</v>
      </c>
      <c r="H35">
        <v>19</v>
      </c>
      <c r="I35">
        <v>0.411</v>
      </c>
      <c r="J35">
        <v>60</v>
      </c>
      <c r="K35" s="3">
        <f>0.5*LN((1+I35)/(1-I35))</f>
        <v>0.43681388410061367</v>
      </c>
      <c r="L35" s="3">
        <f>1/(J35-3)</f>
        <v>0.017543859649122806</v>
      </c>
      <c r="M35" s="3">
        <f>SQRT(L35)</f>
        <v>0.13245323570650439</v>
      </c>
    </row>
    <row r="36" spans="1:13">
      <c r="A36">
        <v>15</v>
      </c>
      <c r="B36">
        <v>1994</v>
      </c>
      <c r="C36" t="s">
        <v>23</v>
      </c>
      <c r="D36" t="s">
        <v>34</v>
      </c>
      <c r="E36" t="s">
        <v>20</v>
      </c>
      <c r="F36" t="s">
        <v>21</v>
      </c>
      <c r="G36">
        <v>378.56</v>
      </c>
      <c r="H36">
        <v>20</v>
      </c>
      <c r="I36">
        <v>0.11</v>
      </c>
      <c r="J36">
        <v>21</v>
      </c>
      <c r="K36" s="3">
        <f>0.5*LN((1+I36)/(1-I36))</f>
        <v>0.11044691579009722</v>
      </c>
      <c r="L36" s="3">
        <f>1/(J36-3)</f>
        <v>0.05555555555555555</v>
      </c>
      <c r="M36" s="3">
        <f>SQRT(L36)</f>
        <v>0.23570226039551584</v>
      </c>
    </row>
    <row r="37" spans="1:13">
      <c r="A37">
        <v>16</v>
      </c>
      <c r="B37">
        <v>2011</v>
      </c>
      <c r="C37" t="s">
        <v>25</v>
      </c>
      <c r="D37" t="s">
        <v>30</v>
      </c>
      <c r="E37" t="s">
        <v>17</v>
      </c>
      <c r="F37" t="s">
        <v>16</v>
      </c>
      <c r="G37">
        <v>11.92</v>
      </c>
      <c r="H37">
        <v>21</v>
      </c>
      <c r="I37">
        <v>0.44</v>
      </c>
      <c r="J37">
        <v>26</v>
      </c>
      <c r="K37" s="3">
        <f>0.5*LN((1+I37)/(1-I37))</f>
        <v>0.47223080442042564</v>
      </c>
      <c r="L37" s="3">
        <f>1/(J37-3)</f>
        <v>0.043478260869565216</v>
      </c>
      <c r="M37" s="3">
        <f>SQRT(L37)</f>
        <v>0.20851441405707477</v>
      </c>
    </row>
    <row r="38" spans="1:13">
      <c r="A38">
        <v>16</v>
      </c>
      <c r="B38">
        <v>2011</v>
      </c>
      <c r="C38" t="s">
        <v>25</v>
      </c>
      <c r="D38" t="s">
        <v>30</v>
      </c>
      <c r="E38" t="s">
        <v>15</v>
      </c>
      <c r="F38" t="s">
        <v>16</v>
      </c>
      <c r="G38">
        <v>11.92</v>
      </c>
      <c r="H38">
        <v>21</v>
      </c>
      <c r="I38">
        <v>0.022</v>
      </c>
      <c r="J38">
        <v>26</v>
      </c>
      <c r="K38" s="3">
        <f>0.5*LN((1+I38)/(1-I38))</f>
        <v>0.022003550364416223</v>
      </c>
      <c r="L38" s="3">
        <f>1/(J38-3)</f>
        <v>0.043478260869565216</v>
      </c>
      <c r="M38" s="3">
        <f>SQRT(L38)</f>
        <v>0.20851441405707477</v>
      </c>
    </row>
    <row r="39" spans="1:13">
      <c r="A39">
        <v>17</v>
      </c>
      <c r="B39">
        <v>1991</v>
      </c>
      <c r="C39" t="s">
        <v>25</v>
      </c>
      <c r="D39" t="s">
        <v>30</v>
      </c>
      <c r="E39" t="s">
        <v>20</v>
      </c>
      <c r="F39" t="s">
        <v>21</v>
      </c>
      <c r="G39">
        <v>13.41</v>
      </c>
      <c r="H39">
        <v>22</v>
      </c>
      <c r="I39">
        <v>0.569</v>
      </c>
      <c r="J39">
        <v>19</v>
      </c>
      <c r="K39" s="3">
        <f>0.5*LN((1+I39)/(1-I39))</f>
        <v>0.6460428313146424</v>
      </c>
      <c r="L39" s="3">
        <f>1/(J39-3)</f>
        <v>0.0625</v>
      </c>
      <c r="M39" s="3">
        <f>SQRT(L39)</f>
        <v>0.25</v>
      </c>
    </row>
    <row r="40" spans="1:13">
      <c r="A40">
        <v>17</v>
      </c>
      <c r="B40">
        <v>1991</v>
      </c>
      <c r="C40" t="s">
        <v>25</v>
      </c>
      <c r="D40" t="s">
        <v>30</v>
      </c>
      <c r="E40" t="s">
        <v>22</v>
      </c>
      <c r="F40" t="s">
        <v>21</v>
      </c>
      <c r="G40">
        <v>13.41</v>
      </c>
      <c r="H40">
        <v>22</v>
      </c>
      <c r="I40">
        <v>0.378</v>
      </c>
      <c r="J40">
        <v>19</v>
      </c>
      <c r="K40" s="3">
        <f>0.5*LN((1+I40)/(1-I40))</f>
        <v>0.3977241794172123</v>
      </c>
      <c r="L40" s="3">
        <f>1/(J40-3)</f>
        <v>0.0625</v>
      </c>
      <c r="M40" s="3">
        <f>SQRT(L40)</f>
        <v>0.25</v>
      </c>
    </row>
    <row r="41" spans="1:13">
      <c r="A41">
        <v>17</v>
      </c>
      <c r="B41">
        <v>1991</v>
      </c>
      <c r="C41" t="s">
        <v>25</v>
      </c>
      <c r="D41" t="s">
        <v>30</v>
      </c>
      <c r="E41" t="s">
        <v>15</v>
      </c>
      <c r="F41" t="s">
        <v>21</v>
      </c>
      <c r="G41">
        <v>13.41</v>
      </c>
      <c r="H41">
        <v>22</v>
      </c>
      <c r="I41">
        <v>0.251</v>
      </c>
      <c r="J41">
        <v>19</v>
      </c>
      <c r="K41" s="3">
        <f>0.5*LN((1+I41)/(1-I41))</f>
        <v>0.2564797634748458</v>
      </c>
      <c r="L41" s="3">
        <f>1/(J41-3)</f>
        <v>0.0625</v>
      </c>
      <c r="M41" s="3">
        <f>SQRT(L41)</f>
        <v>0.25</v>
      </c>
    </row>
    <row r="42" spans="1:13">
      <c r="A42">
        <v>18</v>
      </c>
      <c r="B42">
        <v>2015</v>
      </c>
      <c r="C42" t="s">
        <v>18</v>
      </c>
      <c r="D42" t="s">
        <v>35</v>
      </c>
      <c r="E42" t="s">
        <v>15</v>
      </c>
      <c r="F42" t="s">
        <v>21</v>
      </c>
      <c r="G42">
        <v>1.23</v>
      </c>
      <c r="H42">
        <v>23</v>
      </c>
      <c r="I42">
        <v>-0.005</v>
      </c>
      <c r="J42">
        <v>111</v>
      </c>
      <c r="K42" s="3">
        <f>0.5*LN((1+I42)/(1-I42))</f>
        <v>-0.005000041667291655</v>
      </c>
      <c r="L42" s="3">
        <f>1/(J42-3)</f>
        <v>0.009259259259259259</v>
      </c>
      <c r="M42" s="3">
        <f>SQRT(L42)</f>
        <v>0.09622504486493763</v>
      </c>
    </row>
    <row r="43" spans="1:13">
      <c r="A43">
        <v>19</v>
      </c>
      <c r="B43">
        <v>1994</v>
      </c>
      <c r="C43" t="s">
        <v>13</v>
      </c>
      <c r="D43" t="s">
        <v>14</v>
      </c>
      <c r="E43" t="s">
        <v>20</v>
      </c>
      <c r="F43" t="s">
        <v>21</v>
      </c>
      <c r="G43">
        <v>270.58</v>
      </c>
      <c r="H43">
        <v>24</v>
      </c>
      <c r="I43">
        <v>0.621</v>
      </c>
      <c r="J43">
        <v>49</v>
      </c>
      <c r="K43" s="3">
        <f>0.5*LN((1+I43)/(1-I43))</f>
        <v>0.7266311583266248</v>
      </c>
      <c r="L43" s="3">
        <f>1/(J43-3)</f>
        <v>0.021739130434782608</v>
      </c>
      <c r="M43" s="3">
        <f>SQRT(L43)</f>
        <v>0.14744195615489714</v>
      </c>
    </row>
    <row r="44" spans="1:13">
      <c r="A44">
        <v>19</v>
      </c>
      <c r="B44">
        <v>1994</v>
      </c>
      <c r="C44" t="s">
        <v>13</v>
      </c>
      <c r="D44" t="s">
        <v>14</v>
      </c>
      <c r="E44" t="s">
        <v>15</v>
      </c>
      <c r="F44" t="s">
        <v>21</v>
      </c>
      <c r="G44">
        <v>270.58</v>
      </c>
      <c r="H44">
        <v>24</v>
      </c>
      <c r="I44">
        <v>0.279</v>
      </c>
      <c r="J44">
        <v>49</v>
      </c>
      <c r="K44" s="3">
        <f>0.5*LN((1+I44)/(1-I44))</f>
        <v>0.28659733214694677</v>
      </c>
      <c r="L44" s="3">
        <f>1/(J44-3)</f>
        <v>0.021739130434782608</v>
      </c>
      <c r="M44" s="3">
        <f>SQRT(L44)</f>
        <v>0.14744195615489714</v>
      </c>
    </row>
    <row r="45" spans="1:13">
      <c r="A45">
        <v>19</v>
      </c>
      <c r="B45">
        <v>1994</v>
      </c>
      <c r="C45" t="s">
        <v>13</v>
      </c>
      <c r="D45" t="s">
        <v>14</v>
      </c>
      <c r="E45" t="s">
        <v>22</v>
      </c>
      <c r="F45" t="s">
        <v>21</v>
      </c>
      <c r="G45">
        <v>270.58</v>
      </c>
      <c r="H45">
        <v>24</v>
      </c>
      <c r="I45">
        <v>0.759</v>
      </c>
      <c r="J45">
        <v>49</v>
      </c>
      <c r="K45" s="3">
        <f>0.5*LN((1+I45)/(1-I45))</f>
        <v>0.9938519056234516</v>
      </c>
      <c r="L45" s="3">
        <f>1/(J45-3)</f>
        <v>0.021739130434782608</v>
      </c>
      <c r="M45" s="3">
        <f>SQRT(L45)</f>
        <v>0.14744195615489714</v>
      </c>
    </row>
    <row r="46" spans="1:13">
      <c r="A46">
        <v>19</v>
      </c>
      <c r="B46">
        <v>1994</v>
      </c>
      <c r="C46" t="s">
        <v>13</v>
      </c>
      <c r="D46" t="s">
        <v>14</v>
      </c>
      <c r="E46" t="s">
        <v>15</v>
      </c>
      <c r="F46" t="s">
        <v>16</v>
      </c>
      <c r="G46">
        <v>259.04</v>
      </c>
      <c r="H46">
        <v>25</v>
      </c>
      <c r="I46">
        <v>0.619</v>
      </c>
      <c r="J46">
        <v>51</v>
      </c>
      <c r="K46" s="3">
        <f>0.5*LN((1+I46)/(1-I46))</f>
        <v>0.7233822892754671</v>
      </c>
      <c r="L46" s="3">
        <f>1/(J46-3)</f>
        <v>0.020833333333333332</v>
      </c>
      <c r="M46" s="3">
        <f>SQRT(L46)</f>
        <v>0.14433756729740643</v>
      </c>
    </row>
    <row r="47" spans="1:13">
      <c r="A47">
        <v>19</v>
      </c>
      <c r="B47">
        <v>1994</v>
      </c>
      <c r="C47" t="s">
        <v>13</v>
      </c>
      <c r="D47" t="s">
        <v>14</v>
      </c>
      <c r="E47" t="s">
        <v>20</v>
      </c>
      <c r="F47" t="s">
        <v>16</v>
      </c>
      <c r="G47">
        <v>259.04</v>
      </c>
      <c r="H47">
        <v>25</v>
      </c>
      <c r="I47">
        <v>0.404</v>
      </c>
      <c r="J47">
        <v>51</v>
      </c>
      <c r="K47" s="3">
        <f>0.5*LN((1+I47)/(1-I47))</f>
        <v>0.42841995876020333</v>
      </c>
      <c r="L47" s="3">
        <f>1/(J47-3)</f>
        <v>0.020833333333333332</v>
      </c>
      <c r="M47" s="3">
        <f>SQRT(L47)</f>
        <v>0.14433756729740643</v>
      </c>
    </row>
    <row r="48" spans="1:13">
      <c r="A48">
        <v>19</v>
      </c>
      <c r="B48">
        <v>1994</v>
      </c>
      <c r="C48" t="s">
        <v>13</v>
      </c>
      <c r="D48" t="s">
        <v>14</v>
      </c>
      <c r="E48" t="s">
        <v>22</v>
      </c>
      <c r="F48" t="s">
        <v>16</v>
      </c>
      <c r="G48">
        <v>259.04</v>
      </c>
      <c r="H48">
        <v>25</v>
      </c>
      <c r="I48">
        <v>0.625</v>
      </c>
      <c r="J48">
        <v>51</v>
      </c>
      <c r="K48" s="3">
        <f>0.5*LN((1+I48)/(1-I48))</f>
        <v>0.7331685343967135</v>
      </c>
      <c r="L48" s="3">
        <f>1/(J48-3)</f>
        <v>0.020833333333333332</v>
      </c>
      <c r="M48" s="3">
        <f>SQRT(L48)</f>
        <v>0.14433756729740643</v>
      </c>
    </row>
    <row r="49" spans="1:13">
      <c r="A49">
        <v>20</v>
      </c>
      <c r="B49">
        <v>1996</v>
      </c>
      <c r="C49" t="s">
        <v>18</v>
      </c>
      <c r="D49" t="s">
        <v>19</v>
      </c>
      <c r="E49" t="s">
        <v>15</v>
      </c>
      <c r="F49" t="s">
        <v>21</v>
      </c>
      <c r="G49">
        <v>0.55</v>
      </c>
      <c r="H49">
        <v>26</v>
      </c>
      <c r="I49">
        <v>0.462</v>
      </c>
      <c r="J49">
        <v>26</v>
      </c>
      <c r="K49" s="3">
        <f>0.5*LN((1+I49)/(1-I49))</f>
        <v>0.4998510400739697</v>
      </c>
      <c r="L49" s="3">
        <f>1/(J49-3)</f>
        <v>0.043478260869565216</v>
      </c>
      <c r="M49" s="3">
        <f>SQRT(L49)</f>
        <v>0.20851441405707477</v>
      </c>
    </row>
    <row r="50" spans="1:13">
      <c r="A50">
        <v>21</v>
      </c>
      <c r="B50">
        <v>2021</v>
      </c>
      <c r="C50" t="s">
        <v>27</v>
      </c>
      <c r="D50" t="s">
        <v>36</v>
      </c>
      <c r="E50" t="s">
        <v>22</v>
      </c>
      <c r="F50" t="s">
        <v>16</v>
      </c>
      <c r="G50">
        <v>67.52</v>
      </c>
      <c r="H50">
        <v>27</v>
      </c>
      <c r="I50">
        <v>0.695</v>
      </c>
      <c r="J50">
        <v>7</v>
      </c>
      <c r="K50" s="3">
        <f>0.5*LN((1+I50)/(1-I50))</f>
        <v>0.8575631216035694</v>
      </c>
      <c r="L50" s="3">
        <f>1/(J50-3)</f>
        <v>0.25</v>
      </c>
      <c r="M50" s="3">
        <f>SQRT(L50)</f>
        <v>0.5</v>
      </c>
    </row>
    <row r="51" spans="1:13">
      <c r="A51">
        <v>22</v>
      </c>
      <c r="B51">
        <v>2006</v>
      </c>
      <c r="C51" t="s">
        <v>18</v>
      </c>
      <c r="D51" t="s">
        <v>19</v>
      </c>
      <c r="E51" t="s">
        <v>22</v>
      </c>
      <c r="F51" t="s">
        <v>21</v>
      </c>
      <c r="G51">
        <v>0.4</v>
      </c>
      <c r="H51">
        <v>28</v>
      </c>
      <c r="I51">
        <v>-0.206</v>
      </c>
      <c r="J51">
        <v>26</v>
      </c>
      <c r="K51" s="3">
        <f>0.5*LN((1+I51)/(1-I51))</f>
        <v>-0.20899045801999752</v>
      </c>
      <c r="L51" s="3">
        <f>1/(J51-3)</f>
        <v>0.043478260869565216</v>
      </c>
      <c r="M51" s="3">
        <f>SQRT(L51)</f>
        <v>0.20851441405707477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5"/>
  <cols>
    <col min="1" max="1" width="110.7109375" customWidth="1"/>
  </cols>
  <sheetData>
    <row r="1" spans="1:1">
      <c r="A1" s="4" t="s">
        <v>37</v>
      </c>
    </row>
    <row r="3" spans="1:1">
      <c r="A3" s="5" t="s">
        <v>38</v>
      </c>
    </row>
    <row r="4" spans="1:1">
      <c r="A4" s="5" t="s">
        <v>39</v>
      </c>
    </row>
    <row r="5" spans="1:1">
      <c r="A5" s="5" t="s">
        <v>40</v>
      </c>
    </row>
    <row r="6" spans="1:1">
      <c r="A6" s="5" t="s">
        <v>41</v>
      </c>
    </row>
    <row r="7" spans="1:1">
      <c r="A7" s="5" t="s">
        <v>42</v>
      </c>
    </row>
    <row r="8" spans="1:1">
      <c r="A8" s="5" t="s">
        <v>43</v>
      </c>
    </row>
    <row r="10" spans="1:1">
      <c r="A10" s="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2026-10-15T01:34:21Z</dcterms:created>
  <dcterms:modified xsi:type="dcterms:W3CDTF">2026-10-15T01:34:21Z</dcterms:modified>
</cp:coreProperties>
</file>