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<sst xmlns="http://schemas.openxmlformats.org/spreadsheetml/2006/main" count="231" uniqueCount="54">
  <si>
    <t>study_ID</t>
  </si>
  <si>
    <t>study_year</t>
  </si>
  <si>
    <t>taxa</t>
  </si>
  <si>
    <t>species</t>
  </si>
  <si>
    <t>trait</t>
  </si>
  <si>
    <t>sex</t>
  </si>
  <si>
    <t>body_size</t>
  </si>
  <si>
    <t>comparison_ID</t>
  </si>
  <si>
    <t>control_mean</t>
  </si>
  <si>
    <t>control_sd</t>
  </si>
  <si>
    <t>control_n</t>
  </si>
  <si>
    <t>treatment_mean</t>
  </si>
  <si>
    <t>treatment_sd</t>
  </si>
  <si>
    <t>treatment_n</t>
  </si>
  <si>
    <t>lnRR_excel</t>
  </si>
  <si>
    <t>v_lnRR_excel</t>
  </si>
  <si>
    <t>sd_pooled</t>
  </si>
  <si>
    <t>J_correction</t>
  </si>
  <si>
    <t>SMD_excel</t>
  </si>
  <si>
    <t>v_SMD_excel</t>
  </si>
  <si>
    <t>Fish</t>
  </si>
  <si>
    <t>Danio_rerio</t>
  </si>
  <si>
    <t>Maximum metabolic rate</t>
  </si>
  <si>
    <t>male</t>
  </si>
  <si>
    <t>Bird</t>
  </si>
  <si>
    <t>Taeniopygia_guttata</t>
  </si>
  <si>
    <t>Resting metabolic rate</t>
  </si>
  <si>
    <t>female</t>
  </si>
  <si>
    <t>Reptile</t>
  </si>
  <si>
    <t>Pogona_vitticeps</t>
  </si>
  <si>
    <t>Heart rate</t>
  </si>
  <si>
    <t>Oncorhynchus_mykiss</t>
  </si>
  <si>
    <t>Passer_domesticus</t>
  </si>
  <si>
    <t>Gasterosteus_aculeatus</t>
  </si>
  <si>
    <t>Amphibian</t>
  </si>
  <si>
    <t>Rana_temporaria</t>
  </si>
  <si>
    <t>Anolis_sagrei</t>
  </si>
  <si>
    <t>Mammal</t>
  </si>
  <si>
    <t>Peromyscus_maniculatus</t>
  </si>
  <si>
    <t>Rattus_norvegicus</t>
  </si>
  <si>
    <t>Mus_musculus</t>
  </si>
  <si>
    <t>Gallus_gallus</t>
  </si>
  <si>
    <t>Xenopus_laevis</t>
  </si>
  <si>
    <t>Activity 1 · Task 2 · log response ratio (lnRR) from means, SDs and sample sizes</t>
  </si>
  <si>
    <t>Each row compares warmed animals (treatment) with controls. Rows with the same comparison_ID share the same control group.</t>
  </si>
  <si>
    <t>1. lnRR_excel = ln(treatment_mean / control_mean). In Excel: =LN(L2/I2)</t>
  </si>
  <si>
    <t>2. v_lnRR_excel = treatment_sd^2/(treatment_n*treatment_mean^2) + control_sd^2/(control_n*control_mean^2)</t>
  </si>
  <si>
    <t>EXTENSION (Hedges' g):</t>
  </si>
  <si>
    <t>3. sd_pooled = sqrt(((nT-1)*sdT^2 + (nC-1)*sdC^2) / (nT + nC - 2))</t>
  </si>
  <si>
    <t>4. J_correction = 1 - 3 / (4*(nT + nC - 2) - 1)</t>
  </si>
  <si>
    <t>5. SMD_excel = (treatment_mean - control_mean) / sd_pooled * J_correction</t>
  </si>
  <si>
    <t>6. v_SMD_excel = (nT + nC)/(nT*nC) + SMD^2/(2*(nT + nC))</t>
  </si>
  <si>
    <t>7. Drag formulas down to row 51, save as .xlsx, and compare with metafor::escalc(measure = 'ROM') and escalc(measure = 'SMD') in R.</t>
  </si>
  <si>
    <t>SOLUTION: the orange columns on the 'data' sheet contain the formulas.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</si>
</sst>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EAF4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0" fillId="4" borderId="1" xfId="0" applyNumberFormat="1" applyFill="1" applyBorder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24.7109375" customWidth="1"/>
    <col min="6" max="14" width="13.7109375" customWidth="1"/>
    <col min="15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</v>
      </c>
      <c r="B2">
        <v>2003</v>
      </c>
      <c r="C2" t="s">
        <v>20</v>
      </c>
      <c r="D2" t="s">
        <v>21</v>
      </c>
      <c r="E2" t="s">
        <v>22</v>
      </c>
      <c r="F2" t="s">
        <v>23</v>
      </c>
      <c r="G2">
        <v>0.48</v>
      </c>
      <c r="H2">
        <v>1</v>
      </c>
      <c r="I2">
        <v>3.437</v>
      </c>
      <c r="J2">
        <v>0.847</v>
      </c>
      <c r="K2">
        <v>12</v>
      </c>
      <c r="L2">
        <v>6.091</v>
      </c>
      <c r="M2">
        <v>1.281</v>
      </c>
      <c r="N2">
        <v>11</v>
      </c>
      <c r="O2" s="3">
        <f>LN(L2/I2)</f>
        <v>0.5722132739866508</v>
      </c>
      <c r="P2" s="3">
        <f>M2^2/(N2*L2^2)+J2^2/(K2*I2^2)</f>
        <v>0.009081832730246098</v>
      </c>
      <c r="Q2" s="3">
        <f>SQRT(((N2-1)*M2^2+(K2-1)*J2^2)/(N2+K2-2))</f>
        <v>1.0757302945751164</v>
      </c>
      <c r="R2" s="3">
        <f>1-3/(4*(N2+K2-2)-1)</f>
        <v>0.963855421686747</v>
      </c>
      <c r="S2" s="3">
        <f>(L2-I2)/Q2*R2</f>
        <v>2.37798665897663</v>
      </c>
      <c r="T2" s="3">
        <f>(N2+K2)/(N2*K2)+S2^2/(2*(N2+K2))</f>
        <v>0.29717330577005113</v>
      </c>
    </row>
    <row r="3" spans="1:20">
      <c r="A3">
        <v>2</v>
      </c>
      <c r="B3">
        <v>2006</v>
      </c>
      <c r="C3" t="s">
        <v>24</v>
      </c>
      <c r="D3" t="s">
        <v>25</v>
      </c>
      <c r="E3" t="s">
        <v>26</v>
      </c>
      <c r="F3" t="s">
        <v>27</v>
      </c>
      <c r="G3">
        <v>11.35</v>
      </c>
      <c r="H3">
        <v>2</v>
      </c>
      <c r="I3">
        <v>0.551</v>
      </c>
      <c r="J3">
        <v>0.115</v>
      </c>
      <c r="K3">
        <v>17</v>
      </c>
      <c r="L3">
        <v>0.826</v>
      </c>
      <c r="M3">
        <v>0.328</v>
      </c>
      <c r="N3">
        <v>16</v>
      </c>
      <c r="O3" s="3">
        <f>LN(L3/I3)</f>
        <v>0.4048599643680635</v>
      </c>
      <c r="P3" s="3">
        <f>M3^2/(N3*L3^2)+J3^2/(K3*I3^2)</f>
        <v>0.012417629347153337</v>
      </c>
      <c r="Q3" s="3">
        <f>SQRT(((N3-1)*M3^2+(K3-1)*J3^2)/(N3+K3-2))</f>
        <v>0.24265733173584783</v>
      </c>
      <c r="R3" s="3">
        <f>1-3/(4*(N3+K3-2)-1)</f>
        <v>0.975609756097561</v>
      </c>
      <c r="S3" s="3">
        <f>(L3-I3)/Q3*R3</f>
        <v>1.1056442474150647</v>
      </c>
      <c r="T3" s="3">
        <f>(N3+K3)/(N3*K3)+S3^2/(2*(N3+K3))</f>
        <v>0.13984548701543176</v>
      </c>
    </row>
    <row r="4" spans="1:20">
      <c r="A4">
        <v>3</v>
      </c>
      <c r="B4">
        <v>1999</v>
      </c>
      <c r="C4" t="s">
        <v>24</v>
      </c>
      <c r="D4" t="s">
        <v>25</v>
      </c>
      <c r="E4" t="s">
        <v>26</v>
      </c>
      <c r="F4" t="s">
        <v>27</v>
      </c>
      <c r="G4">
        <v>13.88</v>
      </c>
      <c r="H4">
        <v>3</v>
      </c>
      <c r="I4">
        <v>0.624</v>
      </c>
      <c r="J4">
        <v>0.157</v>
      </c>
      <c r="K4">
        <v>60</v>
      </c>
      <c r="L4">
        <v>0.923</v>
      </c>
      <c r="M4">
        <v>0.263</v>
      </c>
      <c r="N4">
        <v>61</v>
      </c>
      <c r="O4" s="3">
        <f>LN(L4/I4)</f>
        <v>0.39147886613342453</v>
      </c>
      <c r="P4" s="3">
        <f>M4^2/(N4*L4^2)+J4^2/(K4*I4^2)</f>
        <v>0.0023860647976123904</v>
      </c>
      <c r="Q4" s="3">
        <f>SQRT(((N4-1)*M4^2+(K4-1)*J4^2)/(N4+K4-2))</f>
        <v>0.21701626396085943</v>
      </c>
      <c r="R4" s="3">
        <f>1-3/(4*(N4+K4-2)-1)</f>
        <v>0.9936842105263158</v>
      </c>
      <c r="S4" s="3">
        <f>(L4-I4)/Q4*R4</f>
        <v>1.3690751721767493</v>
      </c>
      <c r="T4" s="3">
        <f>(N4+K4)/(N4*K4)+S4^2/(2*(N4+K4))</f>
        <v>0.040805426756852184</v>
      </c>
    </row>
    <row r="5" spans="1:20">
      <c r="A5">
        <v>3</v>
      </c>
      <c r="B5">
        <v>1999</v>
      </c>
      <c r="C5" t="s">
        <v>24</v>
      </c>
      <c r="D5" t="s">
        <v>25</v>
      </c>
      <c r="E5" t="s">
        <v>26</v>
      </c>
      <c r="F5" t="s">
        <v>27</v>
      </c>
      <c r="G5">
        <v>13.88</v>
      </c>
      <c r="H5">
        <v>3</v>
      </c>
      <c r="I5">
        <v>0.624</v>
      </c>
      <c r="J5">
        <v>0.157</v>
      </c>
      <c r="K5">
        <v>60</v>
      </c>
      <c r="L5">
        <v>0.864</v>
      </c>
      <c r="M5">
        <v>0.259</v>
      </c>
      <c r="N5">
        <v>59</v>
      </c>
      <c r="O5" s="3">
        <f>LN(L5/I5)</f>
        <v>0.32542240043462795</v>
      </c>
      <c r="P5" s="3">
        <f>M5^2/(N5*L5^2)+J5^2/(K5*I5^2)</f>
        <v>0.002578134759096992</v>
      </c>
      <c r="Q5" s="3">
        <f>SQRT(((N5-1)*M5^2+(K5-1)*J5^2)/(N5+K5-2))</f>
        <v>0.21373737779496282</v>
      </c>
      <c r="R5" s="3">
        <f>1-3/(4*(N5+K5-2)-1)</f>
        <v>0.9935760171306209</v>
      </c>
      <c r="S5" s="3">
        <f>(L5-I5)/Q5*R5</f>
        <v>1.1156600056172712</v>
      </c>
      <c r="T5" s="3">
        <f>(N5+K5)/(N5*K5)+S5^2/(2*(N5+K5))</f>
        <v>0.03884563957935017</v>
      </c>
    </row>
    <row r="6" spans="1:20">
      <c r="A6">
        <v>3</v>
      </c>
      <c r="B6">
        <v>1999</v>
      </c>
      <c r="C6" t="s">
        <v>24</v>
      </c>
      <c r="D6" t="s">
        <v>25</v>
      </c>
      <c r="E6" t="s">
        <v>26</v>
      </c>
      <c r="F6" t="s">
        <v>23</v>
      </c>
      <c r="G6">
        <v>15.11</v>
      </c>
      <c r="H6">
        <v>4</v>
      </c>
      <c r="I6">
        <v>0.588</v>
      </c>
      <c r="J6">
        <v>0.142</v>
      </c>
      <c r="K6">
        <v>60</v>
      </c>
      <c r="L6">
        <v>0.951</v>
      </c>
      <c r="M6">
        <v>0.276</v>
      </c>
      <c r="N6">
        <v>62</v>
      </c>
      <c r="O6" s="3">
        <f>LN(L6/I6)</f>
        <v>0.4807871146467634</v>
      </c>
      <c r="P6" s="3">
        <f>M6^2/(N6*L6^2)+J6^2/(K6*I6^2)</f>
        <v>0.0023305282558748787</v>
      </c>
      <c r="Q6" s="3">
        <f>SQRT(((N6-1)*M6^2+(K6-1)*J6^2)/(N6+K6-2))</f>
        <v>0.22053744957867513</v>
      </c>
      <c r="R6" s="3">
        <f>1-3/(4*(N6+K6-2)-1)</f>
        <v>0.9937369519832986</v>
      </c>
      <c r="S6" s="3">
        <f>(L6-I6)/Q6*R6</f>
        <v>1.635670106184169</v>
      </c>
      <c r="T6" s="3">
        <f>(N6+K6)/(N6*K6)+S6^2/(2*(N6+K6))</f>
        <v>0.043760521450405494</v>
      </c>
    </row>
    <row r="7" spans="1:20">
      <c r="A7">
        <v>3</v>
      </c>
      <c r="B7">
        <v>1999</v>
      </c>
      <c r="C7" t="s">
        <v>24</v>
      </c>
      <c r="D7" t="s">
        <v>25</v>
      </c>
      <c r="E7" t="s">
        <v>26</v>
      </c>
      <c r="F7" t="s">
        <v>23</v>
      </c>
      <c r="G7">
        <v>15.11</v>
      </c>
      <c r="H7">
        <v>4</v>
      </c>
      <c r="I7">
        <v>0.588</v>
      </c>
      <c r="J7">
        <v>0.142</v>
      </c>
      <c r="K7">
        <v>60</v>
      </c>
      <c r="L7">
        <v>0.961</v>
      </c>
      <c r="M7">
        <v>0.3</v>
      </c>
      <c r="N7">
        <v>60</v>
      </c>
      <c r="O7" s="3">
        <f>LN(L7/I7)</f>
        <v>0.4912474610716656</v>
      </c>
      <c r="P7" s="3">
        <f>M7^2/(N7*L7^2)+J7^2/(K7*I7^2)</f>
        <v>0.002596228734734836</v>
      </c>
      <c r="Q7" s="3">
        <f>SQRT(((N7-1)*M7^2+(K7-1)*J7^2)/(N7+K7-2))</f>
        <v>0.2346955474652214</v>
      </c>
      <c r="R7" s="3">
        <f>1-3/(4*(N7+K7-2)-1)</f>
        <v>0.9936305732484076</v>
      </c>
      <c r="S7" s="3">
        <f>(L7-I7)/Q7*R7</f>
        <v>1.579170153948393</v>
      </c>
      <c r="T7" s="3">
        <f>(N7+K7)/(N7*K7)+S7^2/(2*(N7+K7))</f>
        <v>0.043724076563005795</v>
      </c>
    </row>
    <row r="8" spans="1:20">
      <c r="A8">
        <v>4</v>
      </c>
      <c r="B8">
        <v>1990</v>
      </c>
      <c r="C8" t="s">
        <v>28</v>
      </c>
      <c r="D8" t="s">
        <v>29</v>
      </c>
      <c r="E8" t="s">
        <v>22</v>
      </c>
      <c r="F8" t="s">
        <v>27</v>
      </c>
      <c r="G8">
        <v>325.61</v>
      </c>
      <c r="H8">
        <v>5</v>
      </c>
      <c r="I8">
        <v>2.219</v>
      </c>
      <c r="J8">
        <v>0.441</v>
      </c>
      <c r="K8">
        <v>5</v>
      </c>
      <c r="L8">
        <v>2.757</v>
      </c>
      <c r="M8">
        <v>0.304</v>
      </c>
      <c r="N8">
        <v>4</v>
      </c>
      <c r="O8" s="3">
        <f>LN(L8/I8)</f>
        <v>0.21708648809120287</v>
      </c>
      <c r="P8" s="3">
        <f>M8^2/(N8*L8^2)+J8^2/(K8*I8^2)</f>
        <v>0.01093895252848274</v>
      </c>
      <c r="Q8" s="3">
        <f>SQRT(((N8-1)*M8^2+(K8-1)*J8^2)/(N8+K8-2))</f>
        <v>0.38825102336356715</v>
      </c>
      <c r="R8" s="3">
        <f>1-3/(4*(N8+K8-2)-1)</f>
        <v>0.8888888888888888</v>
      </c>
      <c r="S8" s="3">
        <f>(L8-I8)/Q8*R8</f>
        <v>1.2317346083963936</v>
      </c>
      <c r="T8" s="3">
        <f>(N8+K8)/(N8*K8)+S8^2/(2*(N8+K8))</f>
        <v>0.5342872303067454</v>
      </c>
    </row>
    <row r="9" spans="1:20">
      <c r="A9">
        <v>4</v>
      </c>
      <c r="B9">
        <v>1990</v>
      </c>
      <c r="C9" t="s">
        <v>28</v>
      </c>
      <c r="D9" t="s">
        <v>29</v>
      </c>
      <c r="E9" t="s">
        <v>22</v>
      </c>
      <c r="F9" t="s">
        <v>23</v>
      </c>
      <c r="G9">
        <v>260.21</v>
      </c>
      <c r="H9">
        <v>6</v>
      </c>
      <c r="I9">
        <v>2.144</v>
      </c>
      <c r="J9">
        <v>0.37</v>
      </c>
      <c r="K9">
        <v>5</v>
      </c>
      <c r="L9">
        <v>3.812</v>
      </c>
      <c r="M9">
        <v>0.396</v>
      </c>
      <c r="N9">
        <v>6</v>
      </c>
      <c r="O9" s="3">
        <f>LN(L9/I9)</f>
        <v>0.5754807425834</v>
      </c>
      <c r="P9" s="3">
        <f>M9^2/(N9*L9^2)+J9^2/(K9*I9^2)</f>
        <v>0.007754995184396967</v>
      </c>
      <c r="Q9" s="3">
        <f>SQRT(((N9-1)*M9^2+(K9-1)*J9^2)/(N9+K9-2))</f>
        <v>0.38466146732476914</v>
      </c>
      <c r="R9" s="3">
        <f>1-3/(4*(N9+K9-2)-1)</f>
        <v>0.9142857142857143</v>
      </c>
      <c r="S9" s="3">
        <f>(L9-I9)/Q9*R9</f>
        <v>3.9645992670770727</v>
      </c>
      <c r="T9" s="3">
        <f>(N9+K9)/(N9*K9)+S9^2/(2*(N9+K9))</f>
        <v>1.081123364326124</v>
      </c>
    </row>
    <row r="10" spans="1:20">
      <c r="A10">
        <v>5</v>
      </c>
      <c r="B10">
        <v>2011</v>
      </c>
      <c r="C10" t="s">
        <v>24</v>
      </c>
      <c r="D10" t="s">
        <v>25</v>
      </c>
      <c r="E10" t="s">
        <v>26</v>
      </c>
      <c r="F10" t="s">
        <v>27</v>
      </c>
      <c r="G10">
        <v>12.13</v>
      </c>
      <c r="H10">
        <v>7</v>
      </c>
      <c r="I10">
        <v>0.67</v>
      </c>
      <c r="J10">
        <v>0.131</v>
      </c>
      <c r="K10">
        <v>25</v>
      </c>
      <c r="L10">
        <v>0.853</v>
      </c>
      <c r="M10">
        <v>0.238</v>
      </c>
      <c r="N10">
        <v>24</v>
      </c>
      <c r="O10" s="3">
        <f>LN(L10/I10)</f>
        <v>0.2414818351066673</v>
      </c>
      <c r="P10" s="3">
        <f>M10^2/(N10*L10^2)+J10^2/(K10*I10^2)</f>
        <v>0.0047728895166124444</v>
      </c>
      <c r="Q10" s="3">
        <f>SQRT(((N10-1)*M10^2+(K10-1)*J10^2)/(N10+K10-2))</f>
        <v>0.19100384311606503</v>
      </c>
      <c r="R10" s="3">
        <f>1-3/(4*(N10+K10-2)-1)</f>
        <v>0.983957219251337</v>
      </c>
      <c r="S10" s="3">
        <f>(L10-I10)/Q10*R10</f>
        <v>0.9427253828268636</v>
      </c>
      <c r="T10" s="3">
        <f>(N10+K10)/(N10*K10)+S10^2/(2*(N10+K10))</f>
        <v>0.09073535184448357</v>
      </c>
    </row>
    <row r="11" spans="1:20">
      <c r="A11">
        <v>6</v>
      </c>
      <c r="B11">
        <v>2010</v>
      </c>
      <c r="C11" t="s">
        <v>20</v>
      </c>
      <c r="D11" t="s">
        <v>21</v>
      </c>
      <c r="E11" t="s">
        <v>30</v>
      </c>
      <c r="F11" t="s">
        <v>27</v>
      </c>
      <c r="G11">
        <v>0.42</v>
      </c>
      <c r="H11">
        <v>8</v>
      </c>
      <c r="I11">
        <v>93.44199999999999</v>
      </c>
      <c r="J11">
        <v>15.107</v>
      </c>
      <c r="K11">
        <v>17</v>
      </c>
      <c r="L11">
        <v>133.213</v>
      </c>
      <c r="M11">
        <v>19.336</v>
      </c>
      <c r="N11">
        <v>18</v>
      </c>
      <c r="O11" s="3">
        <f>LN(L11/I11)</f>
        <v>0.35460842798110936</v>
      </c>
      <c r="P11" s="3">
        <f>M11^2/(N11*L11^2)+J11^2/(K11*I11^2)</f>
        <v>0.0027080184754910506</v>
      </c>
      <c r="Q11" s="3">
        <f>SQRT(((N11-1)*M11^2+(K11-1)*J11^2)/(N11+K11-2))</f>
        <v>17.414308307199047</v>
      </c>
      <c r="R11" s="3">
        <f>1-3/(4*(N11+K11-2)-1)</f>
        <v>0.9770992366412213</v>
      </c>
      <c r="S11" s="3">
        <f>(L11-I11)/Q11*R11</f>
        <v>2.231510609261079</v>
      </c>
      <c r="T11" s="3">
        <f>(N11+K11)/(N11*K11)+S11^2/(2*(N11+K11))</f>
        <v>0.18551679352795958</v>
      </c>
    </row>
    <row r="12" spans="1:20">
      <c r="A12">
        <v>6</v>
      </c>
      <c r="B12">
        <v>2010</v>
      </c>
      <c r="C12" t="s">
        <v>20</v>
      </c>
      <c r="D12" t="s">
        <v>21</v>
      </c>
      <c r="E12" t="s">
        <v>30</v>
      </c>
      <c r="F12" t="s">
        <v>23</v>
      </c>
      <c r="G12">
        <v>0.43</v>
      </c>
      <c r="H12">
        <v>9</v>
      </c>
      <c r="I12">
        <v>101.83</v>
      </c>
      <c r="J12">
        <v>12.839</v>
      </c>
      <c r="K12">
        <v>17</v>
      </c>
      <c r="L12">
        <v>159.941</v>
      </c>
      <c r="M12">
        <v>30.043</v>
      </c>
      <c r="N12">
        <v>16</v>
      </c>
      <c r="O12" s="3">
        <f>LN(L12/I12)</f>
        <v>0.45150024104525316</v>
      </c>
      <c r="P12" s="3">
        <f>M12^2/(N12*L12^2)+J12^2/(K12*I12^2)</f>
        <v>0.0031403034645373167</v>
      </c>
      <c r="Q12" s="3">
        <f>SQRT(((N12-1)*M12^2+(K12-1)*J12^2)/(N12+K12-2))</f>
        <v>22.843200774960614</v>
      </c>
      <c r="R12" s="3">
        <f>1-3/(4*(N12+K12-2)-1)</f>
        <v>0.975609756097561</v>
      </c>
      <c r="S12" s="3">
        <f>(L12-I12)/Q12*R12</f>
        <v>2.4818614122907703</v>
      </c>
      <c r="T12" s="3">
        <f>(N12+K12)/(N12*K12)+S12^2/(2*(N12+K12))</f>
        <v>0.21465134865143043</v>
      </c>
    </row>
    <row r="13" spans="1:20">
      <c r="A13">
        <v>7</v>
      </c>
      <c r="B13">
        <v>1989</v>
      </c>
      <c r="C13" t="s">
        <v>20</v>
      </c>
      <c r="D13" t="s">
        <v>31</v>
      </c>
      <c r="E13" t="s">
        <v>22</v>
      </c>
      <c r="F13" t="s">
        <v>27</v>
      </c>
      <c r="G13">
        <v>469.44</v>
      </c>
      <c r="H13">
        <v>10</v>
      </c>
      <c r="I13">
        <v>1.868</v>
      </c>
      <c r="J13">
        <v>0.427</v>
      </c>
      <c r="K13">
        <v>9</v>
      </c>
      <c r="L13">
        <v>2.041</v>
      </c>
      <c r="M13">
        <v>0.463</v>
      </c>
      <c r="N13">
        <v>10</v>
      </c>
      <c r="O13" s="3">
        <f>LN(L13/I13)</f>
        <v>0.0885715440210568</v>
      </c>
      <c r="P13" s="3">
        <f>M13^2/(N13*L13^2)+J13^2/(K13*I13^2)</f>
        <v>0.010951838942148965</v>
      </c>
      <c r="Q13" s="3">
        <f>SQRT(((N13-1)*M13^2+(K13-1)*J13^2)/(N13+K13-2))</f>
        <v>0.4464206009372512</v>
      </c>
      <c r="R13" s="3">
        <f>1-3/(4*(N13+K13-2)-1)</f>
        <v>0.9552238805970149</v>
      </c>
      <c r="S13" s="3">
        <f>(L13-I13)/Q13*R13</f>
        <v>0.37017496727600935</v>
      </c>
      <c r="T13" s="3">
        <f>(N13+K13)/(N13*K13)+S13^2/(2*(N13+K13))</f>
        <v>0.21471715075315834</v>
      </c>
    </row>
    <row r="14" spans="1:20">
      <c r="A14">
        <v>8</v>
      </c>
      <c r="B14">
        <v>2002</v>
      </c>
      <c r="C14" t="s">
        <v>24</v>
      </c>
      <c r="D14" t="s">
        <v>32</v>
      </c>
      <c r="E14" t="s">
        <v>26</v>
      </c>
      <c r="F14" t="s">
        <v>27</v>
      </c>
      <c r="G14">
        <v>25.78</v>
      </c>
      <c r="H14">
        <v>11</v>
      </c>
      <c r="I14">
        <v>0.611</v>
      </c>
      <c r="J14">
        <v>0.14</v>
      </c>
      <c r="K14">
        <v>14</v>
      </c>
      <c r="L14">
        <v>0.845</v>
      </c>
      <c r="M14">
        <v>0.139</v>
      </c>
      <c r="N14">
        <v>12</v>
      </c>
      <c r="O14" s="3">
        <f>LN(L14/I14)</f>
        <v>0.3242396681855784</v>
      </c>
      <c r="P14" s="3">
        <f>M14^2/(N14*L14^2)+J14^2/(K14*I14^2)</f>
        <v>0.006005063607685646</v>
      </c>
      <c r="Q14" s="3">
        <f>SQRT(((N14-1)*M14^2+(K14-1)*J14^2)/(N14+K14-2))</f>
        <v>0.1395425562328568</v>
      </c>
      <c r="R14" s="3">
        <f>1-3/(4*(N14+K14-2)-1)</f>
        <v>0.968421052631579</v>
      </c>
      <c r="S14" s="3">
        <f>(L14-I14)/Q14*R14</f>
        <v>1.623952810049151</v>
      </c>
      <c r="T14" s="3">
        <f>(N14+K14)/(N14*K14)+S14^2/(2*(N14+K14))</f>
        <v>0.20547772647856888</v>
      </c>
    </row>
    <row r="15" spans="1:20">
      <c r="A15">
        <v>8</v>
      </c>
      <c r="B15">
        <v>2002</v>
      </c>
      <c r="C15" t="s">
        <v>24</v>
      </c>
      <c r="D15" t="s">
        <v>32</v>
      </c>
      <c r="E15" t="s">
        <v>26</v>
      </c>
      <c r="F15" t="s">
        <v>23</v>
      </c>
      <c r="G15">
        <v>29.37</v>
      </c>
      <c r="H15">
        <v>12</v>
      </c>
      <c r="I15">
        <v>0.5629999999999999</v>
      </c>
      <c r="J15">
        <v>0.132</v>
      </c>
      <c r="K15">
        <v>14</v>
      </c>
      <c r="L15">
        <v>0.9399999999999999</v>
      </c>
      <c r="M15">
        <v>0.201</v>
      </c>
      <c r="N15">
        <v>16</v>
      </c>
      <c r="O15" s="3">
        <f>LN(L15/I15)</f>
        <v>0.5126002471243593</v>
      </c>
      <c r="P15" s="3">
        <f>M15^2/(N15*L15^2)+J15^2/(K15*I15^2)</f>
        <v>0.006784175431122586</v>
      </c>
      <c r="Q15" s="3">
        <f>SQRT(((N15-1)*M15^2+(K15-1)*J15^2)/(N15+K15-2))</f>
        <v>0.1724329062066088</v>
      </c>
      <c r="R15" s="3">
        <f>1-3/(4*(N15+K15-2)-1)</f>
        <v>0.972972972972973</v>
      </c>
      <c r="S15" s="3">
        <f>(L15-I15)/Q15*R15</f>
        <v>2.127266882408737</v>
      </c>
      <c r="T15" s="3">
        <f>(N15+K15)/(N15*K15)+S15^2/(2*(N15+K15))</f>
        <v>0.2093496445784545</v>
      </c>
    </row>
    <row r="16" spans="1:20">
      <c r="A16">
        <v>9</v>
      </c>
      <c r="B16">
        <v>2012</v>
      </c>
      <c r="C16" t="s">
        <v>20</v>
      </c>
      <c r="D16" t="s">
        <v>33</v>
      </c>
      <c r="E16" t="s">
        <v>26</v>
      </c>
      <c r="F16" t="s">
        <v>27</v>
      </c>
      <c r="G16">
        <v>1.92</v>
      </c>
      <c r="H16">
        <v>13</v>
      </c>
      <c r="I16">
        <v>0.79</v>
      </c>
      <c r="J16">
        <v>0.229</v>
      </c>
      <c r="K16">
        <v>9</v>
      </c>
      <c r="L16">
        <v>0.948</v>
      </c>
      <c r="M16">
        <v>0.319</v>
      </c>
      <c r="N16">
        <v>8</v>
      </c>
      <c r="O16" s="3">
        <f>LN(L16/I16)</f>
        <v>0.1823215567939546</v>
      </c>
      <c r="P16" s="3">
        <f>M16^2/(N16*L16^2)+J16^2/(K16*I16^2)</f>
        <v>0.023490142471826098</v>
      </c>
      <c r="Q16" s="3">
        <f>SQRT(((N16-1)*M16^2+(K16-1)*J16^2)/(N16+K16-2))</f>
        <v>0.2746943756249844</v>
      </c>
      <c r="R16" s="3">
        <f>1-3/(4*(N16+K16-2)-1)</f>
        <v>0.9491525423728814</v>
      </c>
      <c r="S16" s="3">
        <f>(L16-I16)/Q16*R16</f>
        <v>0.5459380133055598</v>
      </c>
      <c r="T16" s="3">
        <f>(N16+K16)/(N16*K16)+S16^2/(2*(N16+K16))</f>
        <v>0.24487723800440586</v>
      </c>
    </row>
    <row r="17" spans="1:20">
      <c r="A17">
        <v>9</v>
      </c>
      <c r="B17">
        <v>2012</v>
      </c>
      <c r="C17" t="s">
        <v>20</v>
      </c>
      <c r="D17" t="s">
        <v>33</v>
      </c>
      <c r="E17" t="s">
        <v>26</v>
      </c>
      <c r="F17" t="s">
        <v>27</v>
      </c>
      <c r="G17">
        <v>1.92</v>
      </c>
      <c r="H17">
        <v>13</v>
      </c>
      <c r="I17">
        <v>0.79</v>
      </c>
      <c r="J17">
        <v>0.229</v>
      </c>
      <c r="K17">
        <v>9</v>
      </c>
      <c r="L17">
        <v>1.053</v>
      </c>
      <c r="M17">
        <v>0.329</v>
      </c>
      <c r="N17">
        <v>8</v>
      </c>
      <c r="O17" s="3">
        <f>LN(L17/I17)</f>
        <v>0.28736556667290813</v>
      </c>
      <c r="P17" s="3">
        <f>M17^2/(N17*L17^2)+J17^2/(K17*I17^2)</f>
        <v>0.02153868334163033</v>
      </c>
      <c r="Q17" s="3">
        <f>SQRT(((N17-1)*M17^2+(K17-1)*J17^2)/(N17+K17-2))</f>
        <v>0.2801446055165082</v>
      </c>
      <c r="R17" s="3">
        <f>1-3/(4*(N17+K17-2)-1)</f>
        <v>0.9491525423728814</v>
      </c>
      <c r="S17" s="3">
        <f>(L17-I17)/Q17*R17</f>
        <v>0.8910652346270427</v>
      </c>
      <c r="T17" s="3">
        <f>(N17+K17)/(N17*K17)+S17^2/(2*(N17+K17))</f>
        <v>0.2594639714746684</v>
      </c>
    </row>
    <row r="18" spans="1:20">
      <c r="A18">
        <v>9</v>
      </c>
      <c r="B18">
        <v>2012</v>
      </c>
      <c r="C18" t="s">
        <v>20</v>
      </c>
      <c r="D18" t="s">
        <v>33</v>
      </c>
      <c r="E18" t="s">
        <v>26</v>
      </c>
      <c r="F18" t="s">
        <v>27</v>
      </c>
      <c r="G18">
        <v>1.92</v>
      </c>
      <c r="H18">
        <v>13</v>
      </c>
      <c r="I18">
        <v>0.79</v>
      </c>
      <c r="J18">
        <v>0.229</v>
      </c>
      <c r="K18">
        <v>9</v>
      </c>
      <c r="L18">
        <v>0.9330000000000001</v>
      </c>
      <c r="M18">
        <v>0.192</v>
      </c>
      <c r="N18">
        <v>10</v>
      </c>
      <c r="O18" s="3">
        <f>LN(L18/I18)</f>
        <v>0.1663722553862767</v>
      </c>
      <c r="P18" s="3">
        <f>M18^2/(N18*L18^2)+J18^2/(K18*I18^2)</f>
        <v>0.013571149795488083</v>
      </c>
      <c r="Q18" s="3">
        <f>SQRT(((N18-1)*M18^2+(K18-1)*J18^2)/(N18+K18-2))</f>
        <v>0.21022452982745965</v>
      </c>
      <c r="R18" s="3">
        <f>1-3/(4*(N18+K18-2)-1)</f>
        <v>0.9552238805970149</v>
      </c>
      <c r="S18" s="3">
        <f>(L18-I18)/Q18*R18</f>
        <v>0.6497672514120223</v>
      </c>
      <c r="T18" s="3">
        <f>(N18+K18)/(N18*K18)+S18^2/(2*(N18+K18))</f>
        <v>0.22222157113762517</v>
      </c>
    </row>
    <row r="19" spans="1:20">
      <c r="A19">
        <v>9</v>
      </c>
      <c r="B19">
        <v>2012</v>
      </c>
      <c r="C19" t="s">
        <v>20</v>
      </c>
      <c r="D19" t="s">
        <v>33</v>
      </c>
      <c r="E19" t="s">
        <v>26</v>
      </c>
      <c r="F19" t="s">
        <v>23</v>
      </c>
      <c r="G19">
        <v>1.3</v>
      </c>
      <c r="H19">
        <v>14</v>
      </c>
      <c r="I19">
        <v>0.8139999999999999</v>
      </c>
      <c r="J19">
        <v>0.18</v>
      </c>
      <c r="K19">
        <v>9</v>
      </c>
      <c r="L19">
        <v>1.317</v>
      </c>
      <c r="M19">
        <v>0.398</v>
      </c>
      <c r="N19">
        <v>9</v>
      </c>
      <c r="O19" s="3">
        <f>LN(L19/I19)</f>
        <v>0.4811513357407408</v>
      </c>
      <c r="P19" s="3">
        <f>M19^2/(N19*L19^2)+J19^2/(K19*I19^2)</f>
        <v>0.015580511988628554</v>
      </c>
      <c r="Q19" s="3">
        <f>SQRT(((N19-1)*M19^2+(K19-1)*J19^2)/(N19+K19-2))</f>
        <v>0.30887214183218276</v>
      </c>
      <c r="R19" s="3">
        <f>1-3/(4*(N19+K19-2)-1)</f>
        <v>0.9523809523809523</v>
      </c>
      <c r="S19" s="3">
        <f>(L19-I19)/Q19*R19</f>
        <v>1.550957675256762</v>
      </c>
      <c r="T19" s="3">
        <f>(N19+K19)/(N19*K19)+S19^2/(2*(N19+K19))</f>
        <v>0.2890408252899405</v>
      </c>
    </row>
    <row r="20" spans="1:20">
      <c r="A20">
        <v>9</v>
      </c>
      <c r="B20">
        <v>2012</v>
      </c>
      <c r="C20" t="s">
        <v>20</v>
      </c>
      <c r="D20" t="s">
        <v>33</v>
      </c>
      <c r="E20" t="s">
        <v>26</v>
      </c>
      <c r="F20" t="s">
        <v>23</v>
      </c>
      <c r="G20">
        <v>1.3</v>
      </c>
      <c r="H20">
        <v>14</v>
      </c>
      <c r="I20">
        <v>0.8139999999999999</v>
      </c>
      <c r="J20">
        <v>0.18</v>
      </c>
      <c r="K20">
        <v>9</v>
      </c>
      <c r="L20">
        <v>0.9389999999999999</v>
      </c>
      <c r="M20">
        <v>0.249</v>
      </c>
      <c r="N20">
        <v>7</v>
      </c>
      <c r="O20" s="3">
        <f>LN(L20/I20)</f>
        <v>0.14285511320572258</v>
      </c>
      <c r="P20" s="3">
        <f>M20^2/(N20*L20^2)+J20^2/(K20*I20^2)</f>
        <v>0.015478626661705863</v>
      </c>
      <c r="Q20" s="3">
        <f>SQRT(((N20-1)*M20^2+(K20-1)*J20^2)/(N20+K20-2))</f>
        <v>0.21233497794085376</v>
      </c>
      <c r="R20" s="3">
        <f>1-3/(4*(N20+K20-2)-1)</f>
        <v>0.9454545454545454</v>
      </c>
      <c r="S20" s="3">
        <f>(L20-I20)/Q20*R20</f>
        <v>0.5565819599196601</v>
      </c>
      <c r="T20" s="3">
        <f>(N20+K20)/(N20*K20)+S20^2/(2*(N20+K20))</f>
        <v>0.26364898765912925</v>
      </c>
    </row>
    <row r="21" spans="1:20">
      <c r="A21">
        <v>9</v>
      </c>
      <c r="B21">
        <v>2012</v>
      </c>
      <c r="C21" t="s">
        <v>20</v>
      </c>
      <c r="D21" t="s">
        <v>33</v>
      </c>
      <c r="E21" t="s">
        <v>26</v>
      </c>
      <c r="F21" t="s">
        <v>23</v>
      </c>
      <c r="G21">
        <v>1.3</v>
      </c>
      <c r="H21">
        <v>14</v>
      </c>
      <c r="I21">
        <v>0.8139999999999999</v>
      </c>
      <c r="J21">
        <v>0.18</v>
      </c>
      <c r="K21">
        <v>9</v>
      </c>
      <c r="L21">
        <v>1.327</v>
      </c>
      <c r="M21">
        <v>0.321</v>
      </c>
      <c r="N21">
        <v>9</v>
      </c>
      <c r="O21" s="3">
        <f>LN(L21/I21)</f>
        <v>0.48871566832966723</v>
      </c>
      <c r="P21" s="3">
        <f>M21^2/(N21*L21^2)+J21^2/(K21*I21^2)</f>
        <v>0.011934856749085315</v>
      </c>
      <c r="Q21" s="3">
        <f>SQRT(((N21-1)*M21^2+(K21-1)*J21^2)/(N21+K21-2))</f>
        <v>0.2602316275935729</v>
      </c>
      <c r="R21" s="3">
        <f>1-3/(4*(N21+K21-2)-1)</f>
        <v>0.9523809523809523</v>
      </c>
      <c r="S21" s="3">
        <f>(L21-I21)/Q21*R21</f>
        <v>1.8774483066849754</v>
      </c>
      <c r="T21" s="3">
        <f>(N21+K21)/(N21*K21)+S21^2/(2*(N21+K21))</f>
        <v>0.3201336706742856</v>
      </c>
    </row>
    <row r="22" spans="1:20">
      <c r="A22">
        <v>10</v>
      </c>
      <c r="B22">
        <v>1993</v>
      </c>
      <c r="C22" t="s">
        <v>34</v>
      </c>
      <c r="D22" t="s">
        <v>35</v>
      </c>
      <c r="E22" t="s">
        <v>22</v>
      </c>
      <c r="F22" t="s">
        <v>27</v>
      </c>
      <c r="G22">
        <v>32.56</v>
      </c>
      <c r="H22">
        <v>15</v>
      </c>
      <c r="I22">
        <v>2.7</v>
      </c>
      <c r="J22">
        <v>0.265</v>
      </c>
      <c r="K22">
        <v>11</v>
      </c>
      <c r="L22">
        <v>3.33</v>
      </c>
      <c r="M22">
        <v>1.3</v>
      </c>
      <c r="N22">
        <v>12</v>
      </c>
      <c r="O22" s="3">
        <f>LN(L22/I22)</f>
        <v>0.20972053098206894</v>
      </c>
      <c r="P22" s="3">
        <f>M22^2/(N22*L22^2)+J22^2/(K22*I22^2)</f>
        <v>0.013576120710755347</v>
      </c>
      <c r="Q22" s="3">
        <f>SQRT(((N22-1)*M22^2+(K22-1)*J22^2)/(N22+K22-2))</f>
        <v>0.9584772148718881</v>
      </c>
      <c r="R22" s="3">
        <f>1-3/(4*(N22+K22-2)-1)</f>
        <v>0.963855421686747</v>
      </c>
      <c r="S22" s="3">
        <f>(L22-I22)/Q22*R22</f>
        <v>0.6335350556495115</v>
      </c>
      <c r="T22" s="3">
        <f>(N22+K22)/(N22*K22)+S22^2/(2*(N22+K22))</f>
        <v>0.1829677865627901</v>
      </c>
    </row>
    <row r="23" spans="1:20">
      <c r="A23">
        <v>11</v>
      </c>
      <c r="B23">
        <v>1989</v>
      </c>
      <c r="C23" t="s">
        <v>28</v>
      </c>
      <c r="D23" t="s">
        <v>36</v>
      </c>
      <c r="E23" t="s">
        <v>26</v>
      </c>
      <c r="F23" t="s">
        <v>27</v>
      </c>
      <c r="G23">
        <v>4.94</v>
      </c>
      <c r="H23">
        <v>16</v>
      </c>
      <c r="I23">
        <v>0.6860000000000001</v>
      </c>
      <c r="J23">
        <v>0.106</v>
      </c>
      <c r="K23">
        <v>13</v>
      </c>
      <c r="L23">
        <v>0.868</v>
      </c>
      <c r="M23">
        <v>0.243</v>
      </c>
      <c r="N23">
        <v>15</v>
      </c>
      <c r="O23" s="3">
        <f>LN(L23/I23)</f>
        <v>0.23531408693446482</v>
      </c>
      <c r="P23" s="3">
        <f>M23^2/(N23*L23^2)+J23^2/(K23*I23^2)</f>
        <v>0.007061569920000426</v>
      </c>
      <c r="Q23" s="3">
        <f>SQRT(((N23-1)*M23^2+(K23-1)*J23^2)/(N23+K23-2))</f>
        <v>0.19230564614296047</v>
      </c>
      <c r="R23" s="3">
        <f>1-3/(4*(N23+K23-2)-1)</f>
        <v>0.970873786407767</v>
      </c>
      <c r="S23" s="3">
        <f>(L23-I23)/Q23*R23</f>
        <v>0.9188447280162282</v>
      </c>
      <c r="T23" s="3">
        <f>(N23+K23)/(N23*K23)+S23^2/(2*(N23+K23))</f>
        <v>0.1586660942005153</v>
      </c>
    </row>
    <row r="24" spans="1:20">
      <c r="A24">
        <v>11</v>
      </c>
      <c r="B24">
        <v>1989</v>
      </c>
      <c r="C24" t="s">
        <v>28</v>
      </c>
      <c r="D24" t="s">
        <v>36</v>
      </c>
      <c r="E24" t="s">
        <v>26</v>
      </c>
      <c r="F24" t="s">
        <v>23</v>
      </c>
      <c r="G24">
        <v>3.43</v>
      </c>
      <c r="H24">
        <v>17</v>
      </c>
      <c r="I24">
        <v>0.71</v>
      </c>
      <c r="J24">
        <v>0.175</v>
      </c>
      <c r="K24">
        <v>13</v>
      </c>
      <c r="L24">
        <v>1.317</v>
      </c>
      <c r="M24">
        <v>0.308</v>
      </c>
      <c r="N24">
        <v>11</v>
      </c>
      <c r="O24" s="3">
        <f>LN(L24/I24)</f>
        <v>0.6178467317079199</v>
      </c>
      <c r="P24" s="3">
        <f>M24^2/(N24*L24^2)+J24^2/(K24*I24^2)</f>
        <v>0.009645287656943564</v>
      </c>
      <c r="Q24" s="3">
        <f>SQRT(((N24-1)*M24^2+(K24-1)*J24^2)/(N24+K24-2))</f>
        <v>0.24459056697784862</v>
      </c>
      <c r="R24" s="3">
        <f>1-3/(4*(N24+K24-2)-1)</f>
        <v>0.9655172413793104</v>
      </c>
      <c r="S24" s="3">
        <f>(L24-I24)/Q24*R24</f>
        <v>2.3961225191906883</v>
      </c>
      <c r="T24" s="3">
        <f>(N24+K24)/(N24*K24)+S24^2/(2*(N24+K24))</f>
        <v>0.28744473297743306</v>
      </c>
    </row>
    <row r="25" spans="1:20">
      <c r="A25">
        <v>12</v>
      </c>
      <c r="B25">
        <v>2001</v>
      </c>
      <c r="C25" t="s">
        <v>37</v>
      </c>
      <c r="D25" t="s">
        <v>38</v>
      </c>
      <c r="E25" t="s">
        <v>26</v>
      </c>
      <c r="F25" t="s">
        <v>23</v>
      </c>
      <c r="G25">
        <v>20.67</v>
      </c>
      <c r="H25">
        <v>18</v>
      </c>
      <c r="I25">
        <v>0.593</v>
      </c>
      <c r="J25">
        <v>0.171</v>
      </c>
      <c r="K25">
        <v>60</v>
      </c>
      <c r="L25">
        <v>0.6929999999999999</v>
      </c>
      <c r="M25">
        <v>0.189</v>
      </c>
      <c r="N25">
        <v>60</v>
      </c>
      <c r="O25" s="3">
        <f>LN(L25/I25)</f>
        <v>0.1558356001921777</v>
      </c>
      <c r="P25" s="3">
        <f>M25^2/(N25*L25^2)+J25^2/(K25*I25^2)</f>
        <v>0.0026255684287363095</v>
      </c>
      <c r="Q25" s="3">
        <f>SQRT(((N25-1)*M25^2+(K25-1)*J25^2)/(N25+K25-2))</f>
        <v>0.18022485955050707</v>
      </c>
      <c r="R25" s="3">
        <f>1-3/(4*(N25+K25-2)-1)</f>
        <v>0.9936305732484076</v>
      </c>
      <c r="S25" s="3">
        <f>(L25-I25)/Q25*R25</f>
        <v>0.551328255006878</v>
      </c>
      <c r="T25" s="3">
        <f>(N25+K25)/(N25*K25)+S25^2/(2*(N25+K25))</f>
        <v>0.034599845186537206</v>
      </c>
    </row>
    <row r="26" spans="1:20">
      <c r="A26">
        <v>13</v>
      </c>
      <c r="B26">
        <v>2007</v>
      </c>
      <c r="C26" t="s">
        <v>37</v>
      </c>
      <c r="D26" t="s">
        <v>39</v>
      </c>
      <c r="E26" t="s">
        <v>22</v>
      </c>
      <c r="F26" t="s">
        <v>27</v>
      </c>
      <c r="G26">
        <v>343.88</v>
      </c>
      <c r="H26">
        <v>19</v>
      </c>
      <c r="I26">
        <v>2.262</v>
      </c>
      <c r="J26">
        <v>0.293</v>
      </c>
      <c r="K26">
        <v>6</v>
      </c>
      <c r="L26">
        <v>1.94</v>
      </c>
      <c r="M26">
        <v>0.312</v>
      </c>
      <c r="N26">
        <v>6</v>
      </c>
      <c r="O26" s="3">
        <f>LN(L26/I26)</f>
        <v>-0.15356140461869197</v>
      </c>
      <c r="P26" s="3">
        <f>M26^2/(N26*L26^2)+J26^2/(K26*I26^2)</f>
        <v>0.007107163040364356</v>
      </c>
      <c r="Q26" s="3">
        <f>SQRT(((N26-1)*M26^2+(K26-1)*J26^2)/(N26+K26-2))</f>
        <v>0.30264913679044253</v>
      </c>
      <c r="R26" s="3">
        <f>1-3/(4*(N26+K26-2)-1)</f>
        <v>0.9230769230769231</v>
      </c>
      <c r="S26" s="3">
        <f>(L26-I26)/Q26*R26</f>
        <v>-0.9820968676232342</v>
      </c>
      <c r="T26" s="3">
        <f>(N26+K26)/(N26*K26)+S26^2/(2*(N26+K26))</f>
        <v>0.37352142739147365</v>
      </c>
    </row>
    <row r="27" spans="1:20">
      <c r="A27">
        <v>13</v>
      </c>
      <c r="B27">
        <v>2007</v>
      </c>
      <c r="C27" t="s">
        <v>37</v>
      </c>
      <c r="D27" t="s">
        <v>39</v>
      </c>
      <c r="E27" t="s">
        <v>22</v>
      </c>
      <c r="F27" t="s">
        <v>27</v>
      </c>
      <c r="G27">
        <v>343.88</v>
      </c>
      <c r="H27">
        <v>19</v>
      </c>
      <c r="I27">
        <v>2.262</v>
      </c>
      <c r="J27">
        <v>0.293</v>
      </c>
      <c r="K27">
        <v>6</v>
      </c>
      <c r="L27">
        <v>1.928</v>
      </c>
      <c r="M27">
        <v>0.16</v>
      </c>
      <c r="N27">
        <v>6</v>
      </c>
      <c r="O27" s="3">
        <f>LN(L27/I27)</f>
        <v>-0.15976618150557484</v>
      </c>
      <c r="P27" s="3">
        <f>M27^2/(N27*L27^2)+J27^2/(K27*I27^2)</f>
        <v>0.003944219046919793</v>
      </c>
      <c r="Q27" s="3">
        <f>SQRT(((N27-1)*M27^2+(K27-1)*J27^2)/(N27+K27-2))</f>
        <v>0.23606037363352622</v>
      </c>
      <c r="R27" s="3">
        <f>1-3/(4*(N27+K27-2)-1)</f>
        <v>0.9230769230769231</v>
      </c>
      <c r="S27" s="3">
        <f>(L27-I27)/Q27*R27</f>
        <v>-1.306054411259753</v>
      </c>
      <c r="T27" s="3">
        <f>(N27+K27)/(N27*K27)+S27^2/(2*(N27+K27))</f>
        <v>0.40440742188212747</v>
      </c>
    </row>
    <row r="28" spans="1:20">
      <c r="A28">
        <v>14</v>
      </c>
      <c r="B28">
        <v>2008</v>
      </c>
      <c r="C28" t="s">
        <v>24</v>
      </c>
      <c r="D28" t="s">
        <v>32</v>
      </c>
      <c r="E28" t="s">
        <v>22</v>
      </c>
      <c r="F28" t="s">
        <v>23</v>
      </c>
      <c r="G28">
        <v>28.42</v>
      </c>
      <c r="H28">
        <v>20</v>
      </c>
      <c r="I28">
        <v>2.324</v>
      </c>
      <c r="J28">
        <v>0.486</v>
      </c>
      <c r="K28">
        <v>5</v>
      </c>
      <c r="L28">
        <v>4.512</v>
      </c>
      <c r="M28">
        <v>0.983</v>
      </c>
      <c r="N28">
        <v>6</v>
      </c>
      <c r="O28" s="3">
        <f>LN(L28/I28)</f>
        <v>0.663450675206093</v>
      </c>
      <c r="P28" s="3">
        <f>M28^2/(N28*L28^2)+J28^2/(K28*I28^2)</f>
        <v>0.016657168135109854</v>
      </c>
      <c r="Q28" s="3">
        <f>SQRT(((N28-1)*M28^2+(K28-1)*J28^2)/(N28+K28-2))</f>
        <v>0.8011262211550825</v>
      </c>
      <c r="R28" s="3">
        <f>1-3/(4*(N28+K28-2)-1)</f>
        <v>0.9142857142857143</v>
      </c>
      <c r="S28" s="3">
        <f>(L28-I28)/Q28*R28</f>
        <v>2.497056131770143</v>
      </c>
      <c r="T28" s="3">
        <f>(N28+K28)/(N28*K28)+S28^2/(2*(N28+K28))</f>
        <v>0.6500889087217061</v>
      </c>
    </row>
    <row r="29" spans="1:20">
      <c r="A29">
        <v>15</v>
      </c>
      <c r="B29">
        <v>2008</v>
      </c>
      <c r="C29" t="s">
        <v>28</v>
      </c>
      <c r="D29" t="s">
        <v>36</v>
      </c>
      <c r="E29" t="s">
        <v>26</v>
      </c>
      <c r="F29" t="s">
        <v>27</v>
      </c>
      <c r="G29">
        <v>4.13</v>
      </c>
      <c r="H29">
        <v>21</v>
      </c>
      <c r="I29">
        <v>0.746</v>
      </c>
      <c r="J29">
        <v>0.16</v>
      </c>
      <c r="K29">
        <v>52</v>
      </c>
      <c r="L29">
        <v>0.651</v>
      </c>
      <c r="M29">
        <v>0.236</v>
      </c>
      <c r="N29">
        <v>51</v>
      </c>
      <c r="O29" s="3">
        <f>LN(L29/I29)</f>
        <v>-0.13621595799519157</v>
      </c>
      <c r="P29" s="3">
        <f>M29^2/(N29*L29^2)+J29^2/(K29*I29^2)</f>
        <v>0.0034614906104355027</v>
      </c>
      <c r="Q29" s="3">
        <f>SQRT(((N29-1)*M29^2+(K29-1)*J29^2)/(N29+K29-2))</f>
        <v>0.2012436580391792</v>
      </c>
      <c r="R29" s="3">
        <f>1-3/(4*(N29+K29-2)-1)</f>
        <v>0.9925558312655087</v>
      </c>
      <c r="S29" s="3">
        <f>(L29-I29)/Q29*R29</f>
        <v>-0.4685504372608148</v>
      </c>
      <c r="T29" s="3">
        <f>(N29+K29)/(N29*K29)+S29^2/(2*(N29+K29))</f>
        <v>0.03990433815568093</v>
      </c>
    </row>
    <row r="30" spans="1:20">
      <c r="A30">
        <v>15</v>
      </c>
      <c r="B30">
        <v>2008</v>
      </c>
      <c r="C30" t="s">
        <v>28</v>
      </c>
      <c r="D30" t="s">
        <v>36</v>
      </c>
      <c r="E30" t="s">
        <v>26</v>
      </c>
      <c r="F30" t="s">
        <v>27</v>
      </c>
      <c r="G30">
        <v>4.13</v>
      </c>
      <c r="H30">
        <v>21</v>
      </c>
      <c r="I30">
        <v>0.746</v>
      </c>
      <c r="J30">
        <v>0.16</v>
      </c>
      <c r="K30">
        <v>52</v>
      </c>
      <c r="L30">
        <v>0.825</v>
      </c>
      <c r="M30">
        <v>0.241</v>
      </c>
      <c r="N30">
        <v>50</v>
      </c>
      <c r="O30" s="3">
        <f>LN(L30/I30)</f>
        <v>0.1006577861309201</v>
      </c>
      <c r="P30" s="3">
        <f>M30^2/(N30*L30^2)+J30^2/(K30*I30^2)</f>
        <v>0.0025913205587289405</v>
      </c>
      <c r="Q30" s="3">
        <f>SQRT(((N30-1)*M30^2+(K30-1)*J30^2)/(N30+K30-2))</f>
        <v>0.203753993825888</v>
      </c>
      <c r="R30" s="3">
        <f>1-3/(4*(N30+K30-2)-1)</f>
        <v>0.9924812030075187</v>
      </c>
      <c r="S30" s="3">
        <f>(L30-I30)/Q30*R30</f>
        <v>0.38480725489284645</v>
      </c>
      <c r="T30" s="3">
        <f>(N30+K30)/(N30*K30)+S30^2/(2*(N30+K30))</f>
        <v>0.03995663503183868</v>
      </c>
    </row>
    <row r="31" spans="1:20">
      <c r="A31">
        <v>15</v>
      </c>
      <c r="B31">
        <v>2008</v>
      </c>
      <c r="C31" t="s">
        <v>28</v>
      </c>
      <c r="D31" t="s">
        <v>36</v>
      </c>
      <c r="E31" t="s">
        <v>26</v>
      </c>
      <c r="F31" t="s">
        <v>23</v>
      </c>
      <c r="G31">
        <v>3.75</v>
      </c>
      <c r="H31">
        <v>22</v>
      </c>
      <c r="I31">
        <v>0.6929999999999999</v>
      </c>
      <c r="J31">
        <v>0.163</v>
      </c>
      <c r="K31">
        <v>52</v>
      </c>
      <c r="L31">
        <v>0.84</v>
      </c>
      <c r="M31">
        <v>0.277</v>
      </c>
      <c r="N31">
        <v>51</v>
      </c>
      <c r="O31" s="3">
        <f>LN(L31/I31)</f>
        <v>0.1923718926474561</v>
      </c>
      <c r="P31" s="3">
        <f>M31^2/(N31*L31^2)+J31^2/(K31*I31^2)</f>
        <v>0.0031961252337812064</v>
      </c>
      <c r="Q31" s="3">
        <f>SQRT(((N31-1)*M31^2+(K31-1)*J31^2)/(N31+K31-2))</f>
        <v>0.22671718763322035</v>
      </c>
      <c r="R31" s="3">
        <f>1-3/(4*(N31+K31-2)-1)</f>
        <v>0.9925558312655087</v>
      </c>
      <c r="S31" s="3">
        <f>(L31-I31)/Q31*R31</f>
        <v>0.6435582088821331</v>
      </c>
      <c r="T31" s="3">
        <f>(N31+K31)/(N31*K31)+S31^2/(2*(N31+K31))</f>
        <v>0.04084913260209976</v>
      </c>
    </row>
    <row r="32" spans="1:20">
      <c r="A32">
        <v>15</v>
      </c>
      <c r="B32">
        <v>2008</v>
      </c>
      <c r="C32" t="s">
        <v>28</v>
      </c>
      <c r="D32" t="s">
        <v>36</v>
      </c>
      <c r="E32" t="s">
        <v>26</v>
      </c>
      <c r="F32" t="s">
        <v>23</v>
      </c>
      <c r="G32">
        <v>3.75</v>
      </c>
      <c r="H32">
        <v>22</v>
      </c>
      <c r="I32">
        <v>0.6929999999999999</v>
      </c>
      <c r="J32">
        <v>0.163</v>
      </c>
      <c r="K32">
        <v>52</v>
      </c>
      <c r="L32">
        <v>0.946</v>
      </c>
      <c r="M32">
        <v>0.253</v>
      </c>
      <c r="N32">
        <v>54</v>
      </c>
      <c r="O32" s="3">
        <f>LN(L32/I32)</f>
        <v>0.3112125698619751</v>
      </c>
      <c r="P32" s="3">
        <f>M32^2/(N32*L32^2)+J32^2/(K32*I32^2)</f>
        <v>0.0023884510283499793</v>
      </c>
      <c r="Q32" s="3">
        <f>SQRT(((N32-1)*M32^2+(K32-1)*J32^2)/(N32+K32-2))</f>
        <v>0.21365626599751295</v>
      </c>
      <c r="R32" s="3">
        <f>1-3/(4*(N32+K32-2)-1)</f>
        <v>0.9927710843373494</v>
      </c>
      <c r="S32" s="3">
        <f>(L32-I32)/Q32*R32</f>
        <v>1.1755849198463157</v>
      </c>
      <c r="T32" s="3">
        <f>(N32+K32)/(N32*K32)+S32^2/(2*(N32+K32))</f>
        <v>0.04426815521990128</v>
      </c>
    </row>
    <row r="33" spans="1:20">
      <c r="A33">
        <v>16</v>
      </c>
      <c r="B33">
        <v>1998</v>
      </c>
      <c r="C33" t="s">
        <v>37</v>
      </c>
      <c r="D33" t="s">
        <v>40</v>
      </c>
      <c r="E33" t="s">
        <v>26</v>
      </c>
      <c r="F33" t="s">
        <v>27</v>
      </c>
      <c r="G33">
        <v>23.89</v>
      </c>
      <c r="H33">
        <v>23</v>
      </c>
      <c r="I33">
        <v>0.654</v>
      </c>
      <c r="J33">
        <v>0.118</v>
      </c>
      <c r="K33">
        <v>17</v>
      </c>
      <c r="L33">
        <v>0.625</v>
      </c>
      <c r="M33">
        <v>0.191</v>
      </c>
      <c r="N33">
        <v>18</v>
      </c>
      <c r="O33" s="3">
        <f>LN(L33/I33)</f>
        <v>-0.0453557017207972</v>
      </c>
      <c r="P33" s="3">
        <f>M33^2/(N33*L33^2)+J33^2/(K33*I33^2)</f>
        <v>0.007103368402980977</v>
      </c>
      <c r="Q33" s="3">
        <f>SQRT(((N33-1)*M33^2+(K33-1)*J33^2)/(N33+K33-2))</f>
        <v>0.15982575739621172</v>
      </c>
      <c r="R33" s="3">
        <f>1-3/(4*(N33+K33-2)-1)</f>
        <v>0.9770992366412213</v>
      </c>
      <c r="S33" s="3">
        <f>(L33-I33)/Q33*R33</f>
        <v>-0.17729231085293812</v>
      </c>
      <c r="T33" s="3">
        <f>(N33+K33)/(N33*K33)+S33^2/(2*(N33+K33))</f>
        <v>0.11482812158857132</v>
      </c>
    </row>
    <row r="34" spans="1:20">
      <c r="A34">
        <v>16</v>
      </c>
      <c r="B34">
        <v>1998</v>
      </c>
      <c r="C34" t="s">
        <v>37</v>
      </c>
      <c r="D34" t="s">
        <v>40</v>
      </c>
      <c r="E34" t="s">
        <v>26</v>
      </c>
      <c r="F34" t="s">
        <v>23</v>
      </c>
      <c r="G34">
        <v>16.89</v>
      </c>
      <c r="H34">
        <v>24</v>
      </c>
      <c r="I34">
        <v>0.608</v>
      </c>
      <c r="J34">
        <v>0.126</v>
      </c>
      <c r="K34">
        <v>17</v>
      </c>
      <c r="L34">
        <v>0.715</v>
      </c>
      <c r="M34">
        <v>0.212</v>
      </c>
      <c r="N34">
        <v>18</v>
      </c>
      <c r="O34" s="3">
        <f>LN(L34/I34)</f>
        <v>0.16210766072784055</v>
      </c>
      <c r="P34" s="3">
        <f>M34^2/(N34*L34^2)+J34^2/(K34*I34^2)</f>
        <v>0.007410429593213381</v>
      </c>
      <c r="Q34" s="3">
        <f>SQRT(((N34-1)*M34^2+(K34-1)*J34^2)/(N34+K34-2))</f>
        <v>0.1756428883912589</v>
      </c>
      <c r="R34" s="3">
        <f>1-3/(4*(N34+K34-2)-1)</f>
        <v>0.9770992366412213</v>
      </c>
      <c r="S34" s="3">
        <f>(L34-I34)/Q34*R34</f>
        <v>0.5952396893389604</v>
      </c>
      <c r="T34" s="3">
        <f>(N34+K34)/(N34*K34)+S34^2/(2*(N34+K34))</f>
        <v>0.11944066050681086</v>
      </c>
    </row>
    <row r="35" spans="1:20">
      <c r="A35">
        <v>17</v>
      </c>
      <c r="B35">
        <v>2003</v>
      </c>
      <c r="C35" t="s">
        <v>34</v>
      </c>
      <c r="D35" t="s">
        <v>35</v>
      </c>
      <c r="E35" t="s">
        <v>22</v>
      </c>
      <c r="F35" t="s">
        <v>23</v>
      </c>
      <c r="G35">
        <v>29.99</v>
      </c>
      <c r="H35">
        <v>25</v>
      </c>
      <c r="I35">
        <v>2.157</v>
      </c>
      <c r="J35">
        <v>0.447</v>
      </c>
      <c r="K35">
        <v>6</v>
      </c>
      <c r="L35">
        <v>2.761</v>
      </c>
      <c r="M35">
        <v>0.485</v>
      </c>
      <c r="N35">
        <v>8</v>
      </c>
      <c r="O35" s="3">
        <f>LN(L35/I35)</f>
        <v>0.24687456554099815</v>
      </c>
      <c r="P35" s="3">
        <f>M35^2/(N35*L35^2)+J35^2/(K35*I35^2)</f>
        <v>0.01101463344802881</v>
      </c>
      <c r="Q35" s="3">
        <f>SQRT(((N35-1)*M35^2+(K35-1)*J35^2)/(N35+K35-2))</f>
        <v>0.4695405555788907</v>
      </c>
      <c r="R35" s="3">
        <f>1-3/(4*(N35+K35-2)-1)</f>
        <v>0.9361702127659575</v>
      </c>
      <c r="S35" s="3">
        <f>(L35-I35)/Q35*R35</f>
        <v>1.2042555255179312</v>
      </c>
      <c r="T35" s="3">
        <f>(N35+K35)/(N35*K35)+S35^2/(2*(N35+K35))</f>
        <v>0.343460644193112</v>
      </c>
    </row>
    <row r="36" spans="1:20">
      <c r="A36">
        <v>17</v>
      </c>
      <c r="B36">
        <v>2003</v>
      </c>
      <c r="C36" t="s">
        <v>34</v>
      </c>
      <c r="D36" t="s">
        <v>35</v>
      </c>
      <c r="E36" t="s">
        <v>22</v>
      </c>
      <c r="F36" t="s">
        <v>23</v>
      </c>
      <c r="G36">
        <v>29.99</v>
      </c>
      <c r="H36">
        <v>25</v>
      </c>
      <c r="I36">
        <v>2.157</v>
      </c>
      <c r="J36">
        <v>0.447</v>
      </c>
      <c r="K36">
        <v>6</v>
      </c>
      <c r="L36">
        <v>3.842</v>
      </c>
      <c r="M36">
        <v>1.034</v>
      </c>
      <c r="N36">
        <v>6</v>
      </c>
      <c r="O36" s="3">
        <f>LN(L36/I36)</f>
        <v>0.5772746969393455</v>
      </c>
      <c r="P36" s="3">
        <f>M36^2/(N36*L36^2)+J36^2/(K36*I36^2)</f>
        <v>0.019229420875530617</v>
      </c>
      <c r="Q36" s="3">
        <f>SQRT(((N36-1)*M36^2+(K36-1)*J36^2)/(N36+K36-2))</f>
        <v>0.7965440979631949</v>
      </c>
      <c r="R36" s="3">
        <f>1-3/(4*(N36+K36-2)-1)</f>
        <v>0.9230769230769231</v>
      </c>
      <c r="S36" s="3">
        <f>(L36-I36)/Q36*R36</f>
        <v>1.9526660474439717</v>
      </c>
      <c r="T36" s="3">
        <f>(N36+K36)/(N36*K36)+S36^2/(2*(N36+K36))</f>
        <v>0.49220436220168595</v>
      </c>
    </row>
    <row r="37" spans="1:20">
      <c r="A37">
        <v>18</v>
      </c>
      <c r="B37">
        <v>1996</v>
      </c>
      <c r="C37" t="s">
        <v>34</v>
      </c>
      <c r="D37" t="s">
        <v>35</v>
      </c>
      <c r="E37" t="s">
        <v>26</v>
      </c>
      <c r="F37" t="s">
        <v>23</v>
      </c>
      <c r="G37">
        <v>23.4</v>
      </c>
      <c r="H37">
        <v>26</v>
      </c>
      <c r="I37">
        <v>0.537</v>
      </c>
      <c r="J37">
        <v>0.167</v>
      </c>
      <c r="K37">
        <v>8</v>
      </c>
      <c r="L37">
        <v>0.77</v>
      </c>
      <c r="M37">
        <v>0.242</v>
      </c>
      <c r="N37">
        <v>8</v>
      </c>
      <c r="O37" s="3">
        <f>LN(L37/I37)</f>
        <v>0.3603924203388648</v>
      </c>
      <c r="P37" s="3">
        <f>M37^2/(N37*L37^2)+J37^2/(K37*I37^2)</f>
        <v>0.024436050295819252</v>
      </c>
      <c r="Q37" s="3">
        <f>SQRT(((N37-1)*M37^2+(K37-1)*J37^2)/(N37+K37-2))</f>
        <v>0.2079098362271492</v>
      </c>
      <c r="R37" s="3">
        <f>1-3/(4*(N37+K37-2)-1)</f>
        <v>0.9454545454545454</v>
      </c>
      <c r="S37" s="3">
        <f>(L37-I37)/Q37*R37</f>
        <v>1.059550202570662</v>
      </c>
      <c r="T37" s="3">
        <f>(N37+K37)/(N37*K37)+S37^2/(2*(N37+K37))</f>
        <v>0.2850827072427353</v>
      </c>
    </row>
    <row r="38" spans="1:20">
      <c r="A38">
        <v>19</v>
      </c>
      <c r="B38">
        <v>2017</v>
      </c>
      <c r="C38" t="s">
        <v>24</v>
      </c>
      <c r="D38" t="s">
        <v>41</v>
      </c>
      <c r="E38" t="s">
        <v>22</v>
      </c>
      <c r="F38" t="s">
        <v>27</v>
      </c>
      <c r="G38">
        <v>1700.63</v>
      </c>
      <c r="H38">
        <v>27</v>
      </c>
      <c r="I38">
        <v>1.622</v>
      </c>
      <c r="J38">
        <v>0.131</v>
      </c>
      <c r="K38">
        <v>7</v>
      </c>
      <c r="L38">
        <v>2.081</v>
      </c>
      <c r="M38">
        <v>0.654</v>
      </c>
      <c r="N38">
        <v>8</v>
      </c>
      <c r="O38" s="3">
        <f>LN(L38/I38)</f>
        <v>0.24918859171827618</v>
      </c>
      <c r="P38" s="3">
        <f>M38^2/(N38*L38^2)+J38^2/(K38*I38^2)</f>
        <v>0.013277703263858158</v>
      </c>
      <c r="Q38" s="3">
        <f>SQRT(((N38-1)*M38^2+(K38-1)*J38^2)/(N38+K38-2))</f>
        <v>0.48808716119467527</v>
      </c>
      <c r="R38" s="3">
        <f>1-3/(4*(N38+K38-2)-1)</f>
        <v>0.9411764705882353</v>
      </c>
      <c r="S38" s="3">
        <f>(L38-I38)/Q38*R38</f>
        <v>0.8850878169845879</v>
      </c>
      <c r="T38" s="3">
        <f>(N38+K38)/(N38*K38)+S38^2/(2*(N38+K38))</f>
        <v>0.2939698243162943</v>
      </c>
    </row>
    <row r="39" spans="1:20">
      <c r="A39">
        <v>19</v>
      </c>
      <c r="B39">
        <v>2017</v>
      </c>
      <c r="C39" t="s">
        <v>24</v>
      </c>
      <c r="D39" t="s">
        <v>41</v>
      </c>
      <c r="E39" t="s">
        <v>22</v>
      </c>
      <c r="F39" t="s">
        <v>27</v>
      </c>
      <c r="G39">
        <v>1700.63</v>
      </c>
      <c r="H39">
        <v>27</v>
      </c>
      <c r="I39">
        <v>1.622</v>
      </c>
      <c r="J39">
        <v>0.131</v>
      </c>
      <c r="K39">
        <v>7</v>
      </c>
      <c r="L39">
        <v>1.688</v>
      </c>
      <c r="M39">
        <v>0.397</v>
      </c>
      <c r="N39">
        <v>7</v>
      </c>
      <c r="O39" s="3">
        <f>LN(L39/I39)</f>
        <v>0.03988444048054413</v>
      </c>
      <c r="P39" s="3">
        <f>M39^2/(N39*L39^2)+J39^2/(K39*I39^2)</f>
        <v>0.008833862576039025</v>
      </c>
      <c r="Q39" s="3">
        <f>SQRT(((N39-1)*M39^2+(K39-1)*J39^2)/(N39+K39-2))</f>
        <v>0.295609539764873</v>
      </c>
      <c r="R39" s="3">
        <f>1-3/(4*(N39+K39-2)-1)</f>
        <v>0.9361702127659575</v>
      </c>
      <c r="S39" s="3">
        <f>(L39-I39)/Q39*R39</f>
        <v>0.20901637373306167</v>
      </c>
      <c r="T39" s="3">
        <f>(N39+K39)/(N39*K39)+S39^2/(2*(N39+K39))</f>
        <v>0.28727456587458994</v>
      </c>
    </row>
    <row r="40" spans="1:20">
      <c r="A40">
        <v>19</v>
      </c>
      <c r="B40">
        <v>2017</v>
      </c>
      <c r="C40" t="s">
        <v>24</v>
      </c>
      <c r="D40" t="s">
        <v>41</v>
      </c>
      <c r="E40" t="s">
        <v>22</v>
      </c>
      <c r="F40" t="s">
        <v>27</v>
      </c>
      <c r="G40">
        <v>1700.63</v>
      </c>
      <c r="H40">
        <v>27</v>
      </c>
      <c r="I40">
        <v>1.622</v>
      </c>
      <c r="J40">
        <v>0.131</v>
      </c>
      <c r="K40">
        <v>7</v>
      </c>
      <c r="L40">
        <v>1.79</v>
      </c>
      <c r="M40">
        <v>0.351</v>
      </c>
      <c r="N40">
        <v>6</v>
      </c>
      <c r="O40" s="3">
        <f>LN(L40/I40)</f>
        <v>0.0985556641594425</v>
      </c>
      <c r="P40" s="3">
        <f>M40^2/(N40*L40^2)+J40^2/(K40*I40^2)</f>
        <v>0.007340351073333802</v>
      </c>
      <c r="Q40" s="3">
        <f>SQRT(((N40-1)*M40^2+(K40-1)*J40^2)/(N40+K40-2))</f>
        <v>0.25565797464581463</v>
      </c>
      <c r="R40" s="3">
        <f>1-3/(4*(N40+K40-2)-1)</f>
        <v>0.9302325581395349</v>
      </c>
      <c r="S40" s="3">
        <f>(L40-I40)/Q40*R40</f>
        <v>0.6112818111148258</v>
      </c>
      <c r="T40" s="3">
        <f>(N40+K40)/(N40*K40)+S40^2/(2*(N40+K40))</f>
        <v>0.32389555770072576</v>
      </c>
    </row>
    <row r="41" spans="1:20">
      <c r="A41">
        <v>20</v>
      </c>
      <c r="B41">
        <v>2016</v>
      </c>
      <c r="C41" t="s">
        <v>28</v>
      </c>
      <c r="D41" t="s">
        <v>36</v>
      </c>
      <c r="E41" t="s">
        <v>22</v>
      </c>
      <c r="F41" t="s">
        <v>27</v>
      </c>
      <c r="G41">
        <v>4.07</v>
      </c>
      <c r="H41">
        <v>28</v>
      </c>
      <c r="I41">
        <v>3.227</v>
      </c>
      <c r="J41">
        <v>0.541</v>
      </c>
      <c r="K41">
        <v>5</v>
      </c>
      <c r="L41">
        <v>4.335</v>
      </c>
      <c r="M41">
        <v>0.504</v>
      </c>
      <c r="N41">
        <v>6</v>
      </c>
      <c r="O41" s="3">
        <f>LN(L41/I41)</f>
        <v>0.29516869716268046</v>
      </c>
      <c r="P41" s="3">
        <f>M41^2/(N41*L41^2)+J41^2/(K41*I41^2)</f>
        <v>0.007874014975337006</v>
      </c>
      <c r="Q41" s="3">
        <f>SQRT(((N41-1)*M41^2+(K41-1)*J41^2)/(N41+K41-2))</f>
        <v>0.5207690893711382</v>
      </c>
      <c r="R41" s="3">
        <f>1-3/(4*(N41+K41-2)-1)</f>
        <v>0.9142857142857143</v>
      </c>
      <c r="S41" s="3">
        <f>(L41-I41)/Q41*R41</f>
        <v>1.945254801224604</v>
      </c>
      <c r="T41" s="3">
        <f>(N41+K41)/(N41*K41)+S41^2/(2*(N41+K41))</f>
        <v>0.5386674049251836</v>
      </c>
    </row>
    <row r="42" spans="1:20">
      <c r="A42">
        <v>20</v>
      </c>
      <c r="B42">
        <v>2016</v>
      </c>
      <c r="C42" t="s">
        <v>28</v>
      </c>
      <c r="D42" t="s">
        <v>36</v>
      </c>
      <c r="E42" t="s">
        <v>22</v>
      </c>
      <c r="F42" t="s">
        <v>27</v>
      </c>
      <c r="G42">
        <v>4.07</v>
      </c>
      <c r="H42">
        <v>28</v>
      </c>
      <c r="I42">
        <v>3.227</v>
      </c>
      <c r="J42">
        <v>0.541</v>
      </c>
      <c r="K42">
        <v>5</v>
      </c>
      <c r="L42">
        <v>3.228</v>
      </c>
      <c r="M42">
        <v>0.912</v>
      </c>
      <c r="N42">
        <v>3</v>
      </c>
      <c r="O42" s="3">
        <f>LN(L42/I42)</f>
        <v>0.0003098373378777777</v>
      </c>
      <c r="P42" s="3">
        <f>M42^2/(N42*L42^2)+J42^2/(K42*I42^2)</f>
        <v>0.03222850290767536</v>
      </c>
      <c r="Q42" s="3">
        <f>SQRT(((N42-1)*M42^2+(K42-1)*J42^2)/(N42+K42-2))</f>
        <v>0.687290816661089</v>
      </c>
      <c r="R42" s="3">
        <f>1-3/(4*(N42+K42-2)-1)</f>
        <v>0.8695652173913043</v>
      </c>
      <c r="S42" s="3">
        <f>(L42-I42)/Q42*R42</f>
        <v>0.001265207094743399</v>
      </c>
      <c r="T42" s="3">
        <f>(N42+K42)/(N42*K42)+S42^2/(2*(N42+K42))</f>
        <v>0.5333334333801454</v>
      </c>
    </row>
    <row r="43" spans="1:20">
      <c r="A43">
        <v>21</v>
      </c>
      <c r="B43">
        <v>2014</v>
      </c>
      <c r="C43" t="s">
        <v>28</v>
      </c>
      <c r="D43" t="s">
        <v>29</v>
      </c>
      <c r="E43" t="s">
        <v>22</v>
      </c>
      <c r="F43" t="s">
        <v>27</v>
      </c>
      <c r="G43">
        <v>260.67</v>
      </c>
      <c r="H43">
        <v>29</v>
      </c>
      <c r="I43">
        <v>2.028</v>
      </c>
      <c r="J43">
        <v>0.597</v>
      </c>
      <c r="K43">
        <v>16</v>
      </c>
      <c r="L43">
        <v>2.577</v>
      </c>
      <c r="M43">
        <v>0.575</v>
      </c>
      <c r="N43">
        <v>17</v>
      </c>
      <c r="O43" s="3">
        <f>LN(L43/I43)</f>
        <v>0.23957584594129128</v>
      </c>
      <c r="P43" s="3">
        <f>M43^2/(N43*L43^2)+J43^2/(K43*I43^2)</f>
        <v>0.00834476177901236</v>
      </c>
      <c r="Q43" s="3">
        <f>SQRT(((N43-1)*M43^2+(K43-1)*J43^2)/(N43+K43-2))</f>
        <v>0.5857483495770671</v>
      </c>
      <c r="R43" s="3">
        <f>1-3/(4*(N43+K43-2)-1)</f>
        <v>0.975609756097561</v>
      </c>
      <c r="S43" s="3">
        <f>(L43-I43)/Q43*R43</f>
        <v>0.9144025014911127</v>
      </c>
      <c r="T43" s="3">
        <f>(N43+K43)/(N43*K43)+S43^2/(2*(N43+K43))</f>
        <v>0.13399219508954052</v>
      </c>
    </row>
    <row r="44" spans="1:20">
      <c r="A44">
        <v>21</v>
      </c>
      <c r="B44">
        <v>2014</v>
      </c>
      <c r="C44" t="s">
        <v>28</v>
      </c>
      <c r="D44" t="s">
        <v>29</v>
      </c>
      <c r="E44" t="s">
        <v>22</v>
      </c>
      <c r="F44" t="s">
        <v>27</v>
      </c>
      <c r="G44">
        <v>260.67</v>
      </c>
      <c r="H44">
        <v>29</v>
      </c>
      <c r="I44">
        <v>2.028</v>
      </c>
      <c r="J44">
        <v>0.597</v>
      </c>
      <c r="K44">
        <v>16</v>
      </c>
      <c r="L44">
        <v>2.25</v>
      </c>
      <c r="M44">
        <v>0.521</v>
      </c>
      <c r="N44">
        <v>17</v>
      </c>
      <c r="O44" s="3">
        <f>LN(L44/I44)</f>
        <v>0.10388013048739203</v>
      </c>
      <c r="P44" s="3">
        <f>M44^2/(N44*L44^2)+J44^2/(K44*I44^2)</f>
        <v>0.008570174670602082</v>
      </c>
      <c r="Q44" s="3">
        <f>SQRT(((N44-1)*M44^2+(K44-1)*J44^2)/(N44+K44-2))</f>
        <v>0.5590657818066643</v>
      </c>
      <c r="R44" s="3">
        <f>1-3/(4*(N44+K44-2)-1)</f>
        <v>0.975609756097561</v>
      </c>
      <c r="S44" s="3">
        <f>(L44-I44)/Q44*R44</f>
        <v>0.3874058704751096</v>
      </c>
      <c r="T44" s="3">
        <f>(N44+K44)/(N44*K44)+S44^2/(2*(N44+K44))</f>
        <v>0.1235975189341674</v>
      </c>
    </row>
    <row r="45" spans="1:20">
      <c r="A45">
        <v>21</v>
      </c>
      <c r="B45">
        <v>2014</v>
      </c>
      <c r="C45" t="s">
        <v>28</v>
      </c>
      <c r="D45" t="s">
        <v>29</v>
      </c>
      <c r="E45" t="s">
        <v>22</v>
      </c>
      <c r="F45" t="s">
        <v>27</v>
      </c>
      <c r="G45">
        <v>260.67</v>
      </c>
      <c r="H45">
        <v>29</v>
      </c>
      <c r="I45">
        <v>2.028</v>
      </c>
      <c r="J45">
        <v>0.597</v>
      </c>
      <c r="K45">
        <v>16</v>
      </c>
      <c r="L45">
        <v>2.1</v>
      </c>
      <c r="M45">
        <v>0.554</v>
      </c>
      <c r="N45">
        <v>14</v>
      </c>
      <c r="O45" s="3">
        <f>LN(L45/I45)</f>
        <v>0.03488725900044054</v>
      </c>
      <c r="P45" s="3">
        <f>M45^2/(N45*L45^2)+J45^2/(K45*I45^2)</f>
        <v>0.01038728075536403</v>
      </c>
      <c r="Q45" s="3">
        <f>SQRT(((N45-1)*M45^2+(K45-1)*J45^2)/(N45+K45-2))</f>
        <v>0.5774340716851207</v>
      </c>
      <c r="R45" s="3">
        <f>1-3/(4*(N45+K45-2)-1)</f>
        <v>0.972972972972973</v>
      </c>
      <c r="S45" s="3">
        <f>(L45-I45)/Q45*R45</f>
        <v>0.12131957134018087</v>
      </c>
      <c r="T45" s="3">
        <f>(N45+K45)/(N45*K45)+S45^2/(2*(N45+K45))</f>
        <v>0.1341738787350742</v>
      </c>
    </row>
    <row r="46" spans="1:20">
      <c r="A46">
        <v>22</v>
      </c>
      <c r="B46">
        <v>1989</v>
      </c>
      <c r="C46" t="s">
        <v>34</v>
      </c>
      <c r="D46" t="s">
        <v>42</v>
      </c>
      <c r="E46" t="s">
        <v>26</v>
      </c>
      <c r="F46" t="s">
        <v>27</v>
      </c>
      <c r="G46">
        <v>81.98</v>
      </c>
      <c r="H46">
        <v>30</v>
      </c>
      <c r="I46">
        <v>0.556</v>
      </c>
      <c r="J46">
        <v>0.192</v>
      </c>
      <c r="K46">
        <v>9</v>
      </c>
      <c r="L46">
        <v>0.732</v>
      </c>
      <c r="M46">
        <v>0.23</v>
      </c>
      <c r="N46">
        <v>9</v>
      </c>
      <c r="O46" s="3">
        <f>LN(L46/I46)</f>
        <v>0.27501221971072903</v>
      </c>
      <c r="P46" s="3">
        <f>M46^2/(N46*L46^2)+J46^2/(K46*I46^2)</f>
        <v>0.024219437065936048</v>
      </c>
      <c r="Q46" s="3">
        <f>SQRT(((N46-1)*M46^2+(K46-1)*J46^2)/(N46+K46-2))</f>
        <v>0.21185372312045878</v>
      </c>
      <c r="R46" s="3">
        <f>1-3/(4*(N46+K46-2)-1)</f>
        <v>0.9523809523809523</v>
      </c>
      <c r="S46" s="3">
        <f>(L46-I46)/Q46*R46</f>
        <v>0.7912018025934826</v>
      </c>
      <c r="T46" s="3">
        <f>(N46+K46)/(N46*K46)+S46^2/(2*(N46+K46))</f>
        <v>0.23961111923408823</v>
      </c>
    </row>
    <row r="47" spans="1:20">
      <c r="A47">
        <v>22</v>
      </c>
      <c r="B47">
        <v>1989</v>
      </c>
      <c r="C47" t="s">
        <v>34</v>
      </c>
      <c r="D47" t="s">
        <v>42</v>
      </c>
      <c r="E47" t="s">
        <v>26</v>
      </c>
      <c r="F47" t="s">
        <v>27</v>
      </c>
      <c r="G47">
        <v>81.98</v>
      </c>
      <c r="H47">
        <v>30</v>
      </c>
      <c r="I47">
        <v>0.556</v>
      </c>
      <c r="J47">
        <v>0.192</v>
      </c>
      <c r="K47">
        <v>9</v>
      </c>
      <c r="L47">
        <v>0.846</v>
      </c>
      <c r="M47">
        <v>0.209</v>
      </c>
      <c r="N47">
        <v>10</v>
      </c>
      <c r="O47" s="3">
        <f>LN(L47/I47)</f>
        <v>0.41975106535564083</v>
      </c>
      <c r="P47" s="3">
        <f>M47^2/(N47*L47^2)+J47^2/(K47*I47^2)</f>
        <v>0.019352950903530414</v>
      </c>
      <c r="Q47" s="3">
        <f>SQRT(((N47-1)*M47^2+(K47-1)*J47^2)/(N47+K47-2))</f>
        <v>0.20117902475158786</v>
      </c>
      <c r="R47" s="3">
        <f>1-3/(4*(N47+K47-2)-1)</f>
        <v>0.9552238805970149</v>
      </c>
      <c r="S47" s="3">
        <f>(L47-I47)/Q47*R47</f>
        <v>1.3769572932127847</v>
      </c>
      <c r="T47" s="3">
        <f>(N47+K47)/(N47*K47)+S47^2/(2*(N47+K47))</f>
        <v>0.26100614761984475</v>
      </c>
    </row>
    <row r="48" spans="1:20">
      <c r="A48">
        <v>22</v>
      </c>
      <c r="B48">
        <v>1989</v>
      </c>
      <c r="C48" t="s">
        <v>34</v>
      </c>
      <c r="D48" t="s">
        <v>42</v>
      </c>
      <c r="E48" t="s">
        <v>26</v>
      </c>
      <c r="F48" t="s">
        <v>23</v>
      </c>
      <c r="G48">
        <v>66.58</v>
      </c>
      <c r="H48">
        <v>31</v>
      </c>
      <c r="I48">
        <v>0.576</v>
      </c>
      <c r="J48">
        <v>0.111</v>
      </c>
      <c r="K48">
        <v>9</v>
      </c>
      <c r="L48">
        <v>0.645</v>
      </c>
      <c r="M48">
        <v>0.184</v>
      </c>
      <c r="N48">
        <v>9</v>
      </c>
      <c r="O48" s="3">
        <f>LN(L48/I48)</f>
        <v>0.11314265609988132</v>
      </c>
      <c r="P48" s="3">
        <f>M48^2/(N48*L48^2)+J48^2/(K48*I48^2)</f>
        <v>0.013168469612474042</v>
      </c>
      <c r="Q48" s="3">
        <f>SQRT(((N48-1)*M48^2+(K48-1)*J48^2)/(N48+K48-2))</f>
        <v>0.1519490046035182</v>
      </c>
      <c r="R48" s="3">
        <f>1-3/(4*(N48+K48-2)-1)</f>
        <v>0.9523809523809523</v>
      </c>
      <c r="S48" s="3">
        <f>(L48-I48)/Q48*R48</f>
        <v>0.4324759210220205</v>
      </c>
      <c r="T48" s="3">
        <f>(N48+K48)/(N48*K48)+S48^2/(2*(N48+K48))</f>
        <v>0.22741765061844013</v>
      </c>
    </row>
    <row r="49" spans="1:20">
      <c r="A49">
        <v>22</v>
      </c>
      <c r="B49">
        <v>1989</v>
      </c>
      <c r="C49" t="s">
        <v>34</v>
      </c>
      <c r="D49" t="s">
        <v>42</v>
      </c>
      <c r="E49" t="s">
        <v>26</v>
      </c>
      <c r="F49" t="s">
        <v>23</v>
      </c>
      <c r="G49">
        <v>66.58</v>
      </c>
      <c r="H49">
        <v>31</v>
      </c>
      <c r="I49">
        <v>0.576</v>
      </c>
      <c r="J49">
        <v>0.111</v>
      </c>
      <c r="K49">
        <v>9</v>
      </c>
      <c r="L49">
        <v>0.796</v>
      </c>
      <c r="M49">
        <v>0.217</v>
      </c>
      <c r="N49">
        <v>9</v>
      </c>
      <c r="O49" s="3">
        <f>LN(L49/I49)</f>
        <v>0.32349152514849194</v>
      </c>
      <c r="P49" s="3">
        <f>M49^2/(N49*L49^2)+J49^2/(K49*I49^2)</f>
        <v>0.012383820569210474</v>
      </c>
      <c r="Q49" s="3">
        <f>SQRT(((N49-1)*M49^2+(K49-1)*J49^2)/(N49+K49-2))</f>
        <v>0.17235138525698016</v>
      </c>
      <c r="R49" s="3">
        <f>1-3/(4*(N49+K49-2)-1)</f>
        <v>0.9523809523809523</v>
      </c>
      <c r="S49" s="3">
        <f>(L49-I49)/Q49*R49</f>
        <v>1.2156781287913898</v>
      </c>
      <c r="T49" s="3">
        <f>(N49+K49)/(N49*K49)+S49^2/(2*(N49+K49))</f>
        <v>0.2632742586894926</v>
      </c>
    </row>
    <row r="50" spans="1:20">
      <c r="A50">
        <v>23</v>
      </c>
      <c r="B50">
        <v>2022</v>
      </c>
      <c r="C50" t="s">
        <v>37</v>
      </c>
      <c r="D50" t="s">
        <v>39</v>
      </c>
      <c r="E50" t="s">
        <v>26</v>
      </c>
      <c r="F50" t="s">
        <v>27</v>
      </c>
      <c r="G50">
        <v>309.23</v>
      </c>
      <c r="H50">
        <v>32</v>
      </c>
      <c r="I50">
        <v>0.49</v>
      </c>
      <c r="J50">
        <v>0.119</v>
      </c>
      <c r="K50">
        <v>11</v>
      </c>
      <c r="L50">
        <v>0.376</v>
      </c>
      <c r="M50">
        <v>0.106</v>
      </c>
      <c r="N50">
        <v>11</v>
      </c>
      <c r="O50" s="3">
        <f>LN(L50/I50)</f>
        <v>-0.2648162477147778</v>
      </c>
      <c r="P50" s="3">
        <f>M50^2/(N50*L50^2)+J50^2/(K50*I50^2)</f>
        <v>0.01258687264362101</v>
      </c>
      <c r="Q50" s="3">
        <f>SQRT(((N50-1)*M50^2+(K50-1)*J50^2)/(N50+K50-2))</f>
        <v>0.11268762132550318</v>
      </c>
      <c r="R50" s="3">
        <f>1-3/(4*(N50+K50-2)-1)</f>
        <v>0.9620253164556962</v>
      </c>
      <c r="S50" s="3">
        <f>(L50-I50)/Q50*R50</f>
        <v>-0.9732292223931157</v>
      </c>
      <c r="T50" s="3">
        <f>(N50+K50)/(N50*K50)+S50^2/(2*(N50+K50))</f>
        <v>0.20334488907545248</v>
      </c>
    </row>
    <row r="51" spans="1:20">
      <c r="A51">
        <v>24</v>
      </c>
      <c r="B51">
        <v>2016</v>
      </c>
      <c r="C51" t="s">
        <v>20</v>
      </c>
      <c r="D51" t="s">
        <v>31</v>
      </c>
      <c r="E51" t="s">
        <v>22</v>
      </c>
      <c r="F51" t="s">
        <v>23</v>
      </c>
      <c r="G51">
        <v>555.29</v>
      </c>
      <c r="H51">
        <v>33</v>
      </c>
      <c r="I51">
        <v>1.752</v>
      </c>
      <c r="J51">
        <v>0.282</v>
      </c>
      <c r="K51">
        <v>19</v>
      </c>
      <c r="L51">
        <v>2.039</v>
      </c>
      <c r="M51">
        <v>0.483</v>
      </c>
      <c r="N51">
        <v>18</v>
      </c>
      <c r="O51" s="3">
        <f>LN(L51/I51)</f>
        <v>0.1517014990781185</v>
      </c>
      <c r="P51" s="3">
        <f>M51^2/(N51*L51^2)+J51^2/(K51*I51^2)</f>
        <v>0.004480929265549548</v>
      </c>
      <c r="Q51" s="3">
        <f>SQRT(((N51-1)*M51^2+(K51-1)*J51^2)/(N51+K51-2))</f>
        <v>0.3926956291364307</v>
      </c>
      <c r="R51" s="3">
        <f>1-3/(4*(N51+K51-2)-1)</f>
        <v>0.9784172661870504</v>
      </c>
      <c r="S51" s="3">
        <f>(L51-I51)/Q51*R51</f>
        <v>0.7150722711459714</v>
      </c>
      <c r="T51" s="3">
        <f>(N51+K51)/(N51*K51)+S51^2/(2*(N51+K51))</f>
        <v>0.11509697711051664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110.7109375" customWidth="1"/>
  </cols>
  <sheetData>
    <row r="1" spans="1:1">
      <c r="A1" s="4" t="s">
        <v>43</v>
      </c>
    </row>
    <row r="3" spans="1:1">
      <c r="A3" s="5" t="s">
        <v>44</v>
      </c>
    </row>
    <row r="4" spans="1:1">
      <c r="A4" s="5" t="s">
        <v>45</v>
      </c>
    </row>
    <row r="5" spans="1:1">
      <c r="A5" s="5" t="s">
        <v>46</v>
      </c>
    </row>
    <row r="6" spans="1:1">
      <c r="A6" s="5" t="s">
        <v>47</v>
      </c>
    </row>
    <row r="7" spans="1:1">
      <c r="A7" s="5" t="s">
        <v>48</v>
      </c>
    </row>
    <row r="8" spans="1:1">
      <c r="A8" s="5" t="s">
        <v>49</v>
      </c>
    </row>
    <row r="9" spans="1:1">
      <c r="A9" s="5" t="s">
        <v>50</v>
      </c>
    </row>
    <row r="10" spans="1:1">
      <c r="A10" s="5" t="s">
        <v>51</v>
      </c>
    </row>
    <row r="11" spans="1:1">
      <c r="A11" s="5" t="s">
        <v>52</v>
      </c>
    </row>
    <row r="13" spans="1:1">
      <c r="A13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2026-10-15T01:34:21Z</dcterms:created>
  <dcterms:modified xsi:type="dcterms:W3CDTF">2026-10-15T01:34:21Z</dcterms:modified>
</cp:coreProperties>
</file>